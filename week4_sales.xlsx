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iA\IKT110\consulting\data_stuff\"/>
    </mc:Choice>
  </mc:AlternateContent>
  <xr:revisionPtr revIDLastSave="0" documentId="13_ncr:1_{426421BD-AA3A-449C-927E-22B3466111AD}" xr6:coauthVersionLast="47" xr6:coauthVersionMax="47" xr10:uidLastSave="{00000000-0000-0000-0000-000000000000}"/>
  <bookViews>
    <workbookView xWindow="-108" yWindow="-108" windowWidth="23256" windowHeight="12456" tabRatio="631" activeTab="5" xr2:uid="{736860FF-DA52-421D-B15B-F84C7A8C2823}"/>
  </bookViews>
  <sheets>
    <sheet name="salaries" sheetId="7" r:id="rId1"/>
    <sheet name="week0" sheetId="2" r:id="rId2"/>
    <sheet name="week1" sheetId="3" r:id="rId3"/>
    <sheet name="week2" sheetId="4" r:id="rId4"/>
    <sheet name="week3" sheetId="5" r:id="rId5"/>
    <sheet name="week4" sheetId="1" r:id="rId6"/>
    <sheet name="week5" sheetId="6" r:id="rId7"/>
    <sheet name="week6" sheetId="8" r:id="rId8"/>
    <sheet name="week7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9" l="1"/>
  <c r="L3" i="9"/>
  <c r="L5" i="9"/>
  <c r="L2" i="8"/>
  <c r="L3" i="8"/>
  <c r="L4" i="8"/>
  <c r="L5" i="8"/>
  <c r="L6" i="8"/>
  <c r="L7" i="8"/>
  <c r="L8" i="8"/>
  <c r="L9" i="8"/>
  <c r="L10" i="8"/>
  <c r="L11" i="8"/>
  <c r="L12" i="8"/>
  <c r="L13" i="8"/>
  <c r="L14" i="8"/>
  <c r="M2" i="8"/>
  <c r="M3" i="8"/>
  <c r="M4" i="8"/>
  <c r="M5" i="8"/>
  <c r="M6" i="8"/>
  <c r="M7" i="8"/>
  <c r="M8" i="8"/>
  <c r="M9" i="8"/>
  <c r="M10" i="8"/>
  <c r="M11" i="8"/>
  <c r="M12" i="8"/>
  <c r="M13" i="8"/>
  <c r="M14" i="8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L2" i="5"/>
  <c r="L3" i="5"/>
  <c r="L4" i="5"/>
  <c r="L5" i="5"/>
  <c r="L6" i="5"/>
  <c r="L7" i="5"/>
  <c r="L8" i="5"/>
  <c r="L9" i="5"/>
  <c r="L10" i="5"/>
  <c r="L11" i="5"/>
  <c r="L12" i="5"/>
  <c r="L13" i="5"/>
  <c r="L14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L2" i="4"/>
  <c r="L3" i="4"/>
  <c r="L4" i="4"/>
  <c r="L5" i="4"/>
  <c r="L6" i="4"/>
  <c r="L7" i="4"/>
  <c r="L8" i="4"/>
  <c r="L9" i="4"/>
  <c r="L10" i="4"/>
  <c r="L11" i="4"/>
  <c r="L12" i="4"/>
  <c r="L13" i="4"/>
  <c r="L14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2" i="3"/>
  <c r="M3" i="3"/>
  <c r="L3" i="3" s="1"/>
  <c r="M4" i="3"/>
  <c r="L4" i="3" s="1"/>
  <c r="M5" i="3"/>
  <c r="L5" i="3" s="1"/>
  <c r="M6" i="3"/>
  <c r="M7" i="3"/>
  <c r="M8" i="3"/>
  <c r="L8" i="3" s="1"/>
  <c r="M9" i="3"/>
  <c r="M10" i="3"/>
  <c r="M11" i="3"/>
  <c r="L11" i="3" s="1"/>
  <c r="M12" i="3"/>
  <c r="L12" i="3" s="1"/>
  <c r="M13" i="3"/>
  <c r="M14" i="3"/>
  <c r="L2" i="3"/>
  <c r="L6" i="3"/>
  <c r="L7" i="3"/>
  <c r="L9" i="3"/>
  <c r="L10" i="3"/>
  <c r="L13" i="3"/>
  <c r="L14" i="3"/>
  <c r="L3" i="2"/>
  <c r="L4" i="2"/>
  <c r="L5" i="2"/>
  <c r="L6" i="2"/>
  <c r="L7" i="2"/>
  <c r="L8" i="2"/>
  <c r="L9" i="2"/>
  <c r="L10" i="2"/>
  <c r="L11" i="2"/>
  <c r="L12" i="2"/>
  <c r="L13" i="2"/>
  <c r="L14" i="2"/>
  <c r="L2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" i="1"/>
  <c r="L3" i="1"/>
  <c r="L4" i="1"/>
  <c r="L5" i="1"/>
  <c r="L6" i="1"/>
  <c r="L7" i="1"/>
  <c r="L8" i="1"/>
  <c r="L9" i="1"/>
  <c r="L10" i="1"/>
  <c r="L11" i="1"/>
  <c r="L12" i="1"/>
  <c r="L13" i="1"/>
  <c r="L14" i="1"/>
  <c r="M1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C15" i="9"/>
  <c r="B15" i="9"/>
  <c r="J10" i="9"/>
  <c r="J14" i="9"/>
  <c r="J11" i="9"/>
  <c r="J4" i="9"/>
  <c r="J7" i="9"/>
  <c r="J12" i="9"/>
  <c r="J9" i="9"/>
  <c r="J2" i="9"/>
  <c r="J3" i="9"/>
  <c r="J5" i="9"/>
  <c r="J13" i="9"/>
  <c r="J8" i="9"/>
  <c r="J6" i="9"/>
  <c r="I10" i="9"/>
  <c r="I14" i="9"/>
  <c r="I11" i="9"/>
  <c r="I4" i="9"/>
  <c r="I7" i="9"/>
  <c r="I12" i="9"/>
  <c r="K12" i="9" s="1"/>
  <c r="I9" i="9"/>
  <c r="K9" i="9" s="1"/>
  <c r="I2" i="9"/>
  <c r="K2" i="9" s="1"/>
  <c r="I3" i="9"/>
  <c r="K3" i="9" s="1"/>
  <c r="I5" i="9"/>
  <c r="K5" i="9" s="1"/>
  <c r="I13" i="9"/>
  <c r="I8" i="9"/>
  <c r="I6" i="9"/>
  <c r="G10" i="9"/>
  <c r="H10" i="9" s="1"/>
  <c r="G14" i="9"/>
  <c r="H14" i="9" s="1"/>
  <c r="G11" i="9"/>
  <c r="H11" i="9" s="1"/>
  <c r="G4" i="9"/>
  <c r="H4" i="9" s="1"/>
  <c r="G7" i="9"/>
  <c r="H7" i="9" s="1"/>
  <c r="G12" i="9"/>
  <c r="H12" i="9" s="1"/>
  <c r="G9" i="9"/>
  <c r="H9" i="9" s="1"/>
  <c r="G2" i="9"/>
  <c r="H2" i="9" s="1"/>
  <c r="G3" i="9"/>
  <c r="H3" i="9" s="1"/>
  <c r="G5" i="9"/>
  <c r="H5" i="9" s="1"/>
  <c r="G13" i="9"/>
  <c r="H13" i="9" s="1"/>
  <c r="G8" i="9"/>
  <c r="H8" i="9" s="1"/>
  <c r="G6" i="9"/>
  <c r="H6" i="9" s="1"/>
  <c r="E10" i="9"/>
  <c r="E14" i="9"/>
  <c r="L14" i="9" s="1"/>
  <c r="E11" i="9"/>
  <c r="L11" i="9" s="1"/>
  <c r="E4" i="9"/>
  <c r="L4" i="9" s="1"/>
  <c r="E7" i="9"/>
  <c r="L7" i="9" s="1"/>
  <c r="E12" i="9"/>
  <c r="L12" i="9" s="1"/>
  <c r="E9" i="9"/>
  <c r="L9" i="9" s="1"/>
  <c r="E2" i="9"/>
  <c r="E3" i="9"/>
  <c r="E5" i="9"/>
  <c r="E13" i="9"/>
  <c r="L13" i="9" s="1"/>
  <c r="E8" i="9"/>
  <c r="L8" i="9" s="1"/>
  <c r="E6" i="9"/>
  <c r="I9" i="8"/>
  <c r="I10" i="8"/>
  <c r="I11" i="8"/>
  <c r="H3" i="8"/>
  <c r="I3" i="8" s="1"/>
  <c r="H4" i="8"/>
  <c r="I4" i="8" s="1"/>
  <c r="H5" i="8"/>
  <c r="I5" i="8" s="1"/>
  <c r="H6" i="8"/>
  <c r="I6" i="8" s="1"/>
  <c r="H7" i="8"/>
  <c r="I7" i="8" s="1"/>
  <c r="H8" i="8"/>
  <c r="I8" i="8" s="1"/>
  <c r="H9" i="8"/>
  <c r="H10" i="8"/>
  <c r="H11" i="8"/>
  <c r="H12" i="8"/>
  <c r="I12" i="8" s="1"/>
  <c r="H13" i="8"/>
  <c r="I13" i="8" s="1"/>
  <c r="H14" i="8"/>
  <c r="I14" i="8" s="1"/>
  <c r="F3" i="8"/>
  <c r="F4" i="8"/>
  <c r="F5" i="8"/>
  <c r="F6" i="8"/>
  <c r="F7" i="8"/>
  <c r="F8" i="8"/>
  <c r="F9" i="8"/>
  <c r="F10" i="8"/>
  <c r="F11" i="8"/>
  <c r="F12" i="8"/>
  <c r="F13" i="8"/>
  <c r="F14" i="8"/>
  <c r="L19" i="8" s="1"/>
  <c r="K3" i="8"/>
  <c r="K4" i="8"/>
  <c r="K5" i="8"/>
  <c r="K6" i="8"/>
  <c r="K7" i="8"/>
  <c r="K8" i="8"/>
  <c r="K9" i="8"/>
  <c r="K10" i="8"/>
  <c r="K11" i="8"/>
  <c r="K12" i="8"/>
  <c r="K13" i="8"/>
  <c r="K14" i="8"/>
  <c r="J3" i="8"/>
  <c r="J4" i="8"/>
  <c r="J5" i="8"/>
  <c r="J6" i="8"/>
  <c r="J7" i="8"/>
  <c r="J8" i="8"/>
  <c r="J9" i="8"/>
  <c r="J10" i="8"/>
  <c r="J11" i="8"/>
  <c r="J12" i="8"/>
  <c r="J13" i="8"/>
  <c r="J14" i="8"/>
  <c r="K2" i="8"/>
  <c r="J2" i="8"/>
  <c r="H2" i="8"/>
  <c r="I2" i="8" s="1"/>
  <c r="F2" i="8"/>
  <c r="B32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H2" i="6"/>
  <c r="I2" i="6" s="1"/>
  <c r="H3" i="6"/>
  <c r="I3" i="6" s="1"/>
  <c r="H4" i="6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D15" i="6"/>
  <c r="C15" i="6"/>
  <c r="H2" i="5"/>
  <c r="I2" i="5" s="1"/>
  <c r="H3" i="5"/>
  <c r="I3" i="5" s="1"/>
  <c r="H4" i="5"/>
  <c r="I4" i="5" s="1"/>
  <c r="H5" i="5"/>
  <c r="I5" i="5" s="1"/>
  <c r="H6" i="5"/>
  <c r="I6" i="5" s="1"/>
  <c r="H7" i="5"/>
  <c r="I7" i="5" s="1"/>
  <c r="H8" i="5"/>
  <c r="I8" i="5" s="1"/>
  <c r="H9" i="5"/>
  <c r="I9" i="5" s="1"/>
  <c r="H10" i="5"/>
  <c r="I10" i="5" s="1"/>
  <c r="H11" i="5"/>
  <c r="I11" i="5" s="1"/>
  <c r="H12" i="5"/>
  <c r="I12" i="5" s="1"/>
  <c r="H13" i="5"/>
  <c r="I13" i="5" s="1"/>
  <c r="H14" i="5"/>
  <c r="I14" i="5" s="1"/>
  <c r="I7" i="4"/>
  <c r="I8" i="4"/>
  <c r="I12" i="4"/>
  <c r="I13" i="4"/>
  <c r="I14" i="4"/>
  <c r="H2" i="4"/>
  <c r="I2" i="4" s="1"/>
  <c r="H3" i="4"/>
  <c r="I3" i="4" s="1"/>
  <c r="H4" i="4"/>
  <c r="I4" i="4" s="1"/>
  <c r="H5" i="4"/>
  <c r="I5" i="4" s="1"/>
  <c r="H6" i="4"/>
  <c r="I6" i="4" s="1"/>
  <c r="H7" i="4"/>
  <c r="H8" i="4"/>
  <c r="H9" i="4"/>
  <c r="I9" i="4" s="1"/>
  <c r="H10" i="4"/>
  <c r="I10" i="4" s="1"/>
  <c r="H11" i="4"/>
  <c r="I11" i="4" s="1"/>
  <c r="H12" i="4"/>
  <c r="H13" i="4"/>
  <c r="H14" i="4"/>
  <c r="K2" i="5"/>
  <c r="K3" i="5"/>
  <c r="K4" i="5"/>
  <c r="K5" i="5"/>
  <c r="K6" i="5"/>
  <c r="K7" i="5"/>
  <c r="K8" i="5"/>
  <c r="K15" i="5" s="1"/>
  <c r="K9" i="5"/>
  <c r="K10" i="5"/>
  <c r="K11" i="5"/>
  <c r="K12" i="5"/>
  <c r="K13" i="5"/>
  <c r="K14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F3" i="5"/>
  <c r="F4" i="5"/>
  <c r="F5" i="5"/>
  <c r="F6" i="5"/>
  <c r="F7" i="5"/>
  <c r="F8" i="5"/>
  <c r="F9" i="5"/>
  <c r="F10" i="5"/>
  <c r="F11" i="5"/>
  <c r="F12" i="5"/>
  <c r="F13" i="5"/>
  <c r="F14" i="5"/>
  <c r="F2" i="5"/>
  <c r="K2" i="4"/>
  <c r="K3" i="4"/>
  <c r="K4" i="4"/>
  <c r="K5" i="4"/>
  <c r="K6" i="4"/>
  <c r="K7" i="4"/>
  <c r="K8" i="4"/>
  <c r="K9" i="4"/>
  <c r="K10" i="4"/>
  <c r="K11" i="4"/>
  <c r="K12" i="4"/>
  <c r="K13" i="4"/>
  <c r="K14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H2" i="3"/>
  <c r="I2" i="3" s="1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K3" i="2"/>
  <c r="K4" i="2"/>
  <c r="K5" i="2"/>
  <c r="K6" i="2"/>
  <c r="K7" i="2"/>
  <c r="K8" i="2"/>
  <c r="K9" i="2"/>
  <c r="K10" i="2"/>
  <c r="K11" i="2"/>
  <c r="K12" i="2"/>
  <c r="K13" i="2"/>
  <c r="K1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F13" i="2"/>
  <c r="F14" i="2"/>
  <c r="F2" i="2"/>
  <c r="F4" i="2"/>
  <c r="F5" i="2"/>
  <c r="F6" i="2"/>
  <c r="F7" i="2"/>
  <c r="F8" i="2"/>
  <c r="F9" i="2"/>
  <c r="F10" i="2"/>
  <c r="F11" i="2"/>
  <c r="F12" i="2"/>
  <c r="F3" i="2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K9" i="1"/>
  <c r="K10" i="1"/>
  <c r="K5" i="1"/>
  <c r="K14" i="1"/>
  <c r="K8" i="1"/>
  <c r="K13" i="1"/>
  <c r="K11" i="1"/>
  <c r="K4" i="1"/>
  <c r="K6" i="1"/>
  <c r="K2" i="1"/>
  <c r="K7" i="1"/>
  <c r="K12" i="1"/>
  <c r="K3" i="1"/>
  <c r="J9" i="1"/>
  <c r="J10" i="1"/>
  <c r="J5" i="1"/>
  <c r="J14" i="1"/>
  <c r="J8" i="1"/>
  <c r="J13" i="1"/>
  <c r="J11" i="1"/>
  <c r="J4" i="1"/>
  <c r="J6" i="1"/>
  <c r="J2" i="1"/>
  <c r="J7" i="1"/>
  <c r="J12" i="1"/>
  <c r="J3" i="1"/>
  <c r="F9" i="1"/>
  <c r="F10" i="1"/>
  <c r="F5" i="1"/>
  <c r="F14" i="1"/>
  <c r="F8" i="1"/>
  <c r="F13" i="1"/>
  <c r="F11" i="1"/>
  <c r="F4" i="1"/>
  <c r="F6" i="1"/>
  <c r="F2" i="1"/>
  <c r="F7" i="1"/>
  <c r="F12" i="1"/>
  <c r="F3" i="1"/>
  <c r="D15" i="1"/>
  <c r="C15" i="1"/>
  <c r="H6" i="1"/>
  <c r="I6" i="1" s="1"/>
  <c r="H7" i="1"/>
  <c r="I7" i="1" s="1"/>
  <c r="H14" i="1"/>
  <c r="I14" i="1" s="1"/>
  <c r="H3" i="1"/>
  <c r="I3" i="1" s="1"/>
  <c r="H9" i="1"/>
  <c r="I9" i="1" s="1"/>
  <c r="H4" i="1"/>
  <c r="I4" i="1" s="1"/>
  <c r="H2" i="1"/>
  <c r="I2" i="1" s="1"/>
  <c r="H11" i="1"/>
  <c r="I11" i="1" s="1"/>
  <c r="H12" i="1"/>
  <c r="I12" i="1" s="1"/>
  <c r="H5" i="1"/>
  <c r="I5" i="1" s="1"/>
  <c r="H8" i="1"/>
  <c r="I8" i="1" s="1"/>
  <c r="H10" i="1"/>
  <c r="I10" i="1" s="1"/>
  <c r="H13" i="1"/>
  <c r="I13" i="1" s="1"/>
  <c r="K8" i="9" l="1"/>
  <c r="K10" i="9"/>
  <c r="K7" i="9"/>
  <c r="K4" i="9"/>
  <c r="K11" i="9"/>
  <c r="K14" i="9"/>
  <c r="K13" i="9"/>
  <c r="E15" i="9"/>
  <c r="L17" i="9"/>
  <c r="L6" i="9"/>
  <c r="K6" i="9" s="1"/>
  <c r="K15" i="9" s="1"/>
  <c r="J25" i="1" s="1"/>
  <c r="I25" i="1" s="1"/>
  <c r="J15" i="9"/>
  <c r="L10" i="9"/>
  <c r="I15" i="9"/>
  <c r="L15" i="8"/>
  <c r="J24" i="1" s="1"/>
  <c r="I24" i="1" s="1"/>
  <c r="K15" i="6"/>
  <c r="J15" i="5"/>
  <c r="J15" i="4"/>
  <c r="K15" i="4"/>
  <c r="L15" i="2"/>
  <c r="J18" i="1" s="1"/>
  <c r="I18" i="1" s="1"/>
  <c r="F15" i="6"/>
  <c r="J15" i="6"/>
  <c r="J23" i="1" s="1"/>
  <c r="I23" i="1" s="1"/>
  <c r="J15" i="3"/>
  <c r="K15" i="3"/>
  <c r="K15" i="1"/>
  <c r="J15" i="1"/>
  <c r="F15" i="1"/>
  <c r="L15" i="5" l="1"/>
  <c r="J21" i="1" s="1"/>
  <c r="I21" i="1" s="1"/>
  <c r="L15" i="4"/>
  <c r="J20" i="1" s="1"/>
  <c r="I20" i="1" s="1"/>
  <c r="L15" i="1"/>
  <c r="J22" i="1" s="1"/>
  <c r="I22" i="1" s="1"/>
  <c r="L15" i="3" l="1"/>
  <c r="J19" i="1" s="1"/>
  <c r="I19" i="1" s="1"/>
</calcChain>
</file>

<file path=xl/sharedStrings.xml><?xml version="1.0" encoding="utf-8"?>
<sst xmlns="http://schemas.openxmlformats.org/spreadsheetml/2006/main" count="251" uniqueCount="73">
  <si>
    <t>week</t>
  </si>
  <si>
    <t>rice_porridge</t>
  </si>
  <si>
    <t>nails</t>
  </si>
  <si>
    <t>ice_cream</t>
  </si>
  <si>
    <t>hot_dogs</t>
  </si>
  <si>
    <t>sunscreen</t>
  </si>
  <si>
    <t>dinosaur</t>
  </si>
  <si>
    <t>laderhosen</t>
  </si>
  <si>
    <t>gjokur_ja</t>
  </si>
  <si>
    <t>batteries</t>
  </si>
  <si>
    <t>monster</t>
  </si>
  <si>
    <t>hammer</t>
  </si>
  <si>
    <t>knives</t>
  </si>
  <si>
    <t>matress</t>
  </si>
  <si>
    <t>Spalte1</t>
  </si>
  <si>
    <t>Amount Bought</t>
  </si>
  <si>
    <t>Article Name</t>
  </si>
  <si>
    <t>Amount Expired</t>
  </si>
  <si>
    <t>Totals</t>
  </si>
  <si>
    <t>Profit</t>
  </si>
  <si>
    <t>Amount Sold</t>
  </si>
  <si>
    <t>Selling Price</t>
  </si>
  <si>
    <t>Supplier Price</t>
  </si>
  <si>
    <t>Profit Margin</t>
  </si>
  <si>
    <t>%Profit Margin</t>
  </si>
  <si>
    <t>Expenses</t>
  </si>
  <si>
    <t>Revenue</t>
  </si>
  <si>
    <t>mattress</t>
  </si>
  <si>
    <t>Week</t>
  </si>
  <si>
    <t>dinosuar</t>
  </si>
  <si>
    <t>week0</t>
  </si>
  <si>
    <t>week1</t>
  </si>
  <si>
    <t>week2</t>
  </si>
  <si>
    <t>week3</t>
  </si>
  <si>
    <t>week4</t>
  </si>
  <si>
    <t>week5</t>
  </si>
  <si>
    <t>w_f5c7c8d0-5267-464d-8110-de0033233fa6</t>
  </si>
  <si>
    <t>w_d9959881-4f49-4e34-96e9-cce3558da379</t>
  </si>
  <si>
    <t>w_d4d891c9-19ad-47a8-a223-98c292de6ff3</t>
  </si>
  <si>
    <t>w_d0b28fe5-7717-4c51-b6fd-e1754988ea35</t>
  </si>
  <si>
    <t>w_cc4b9615-0f71-4e59-b24b-15c134b7c4e9</t>
  </si>
  <si>
    <t>w_cbcc4e50-b51f-40a7-8c01-7fa55eb7ae77</t>
  </si>
  <si>
    <t>w_b913d35d-8664-4bae-93dc-06c43d5fa769</t>
  </si>
  <si>
    <t>w_b839a647-25eb-4e3e-9f6d-e92d5b5d09df</t>
  </si>
  <si>
    <t>w_b6a2e2db-6817-4beb-8859-598768a11d94</t>
  </si>
  <si>
    <t>w_b53b94da-ca86-4991-a04d-91118e3dde0a</t>
  </si>
  <si>
    <t>w_b5099cd3-98cc-46a9-a8c7-dd34a860b96d</t>
  </si>
  <si>
    <t>w_a283b2df-6d02-4197-b2ed-0ff13b120d03</t>
  </si>
  <si>
    <t>w_9901a39b-f87f-43c0-a506-97854716cd60</t>
  </si>
  <si>
    <t>w_9554573a-2db2-4db7-9359-0cd89af96a7c</t>
  </si>
  <si>
    <t>w_9048327b-733b-4a39-b7e8-ba7e84bf239f</t>
  </si>
  <si>
    <t>w_8a912f92-d7a8-4352-b86b-51cebacc1371</t>
  </si>
  <si>
    <t>w_87e3576d-f955-4e94-a0bd-0d4f7bc411b2</t>
  </si>
  <si>
    <t>w_7722b4a8-ea96-47b2-a2c7-657177bd3da0</t>
  </si>
  <si>
    <t>w_6f87fb1f-199c-4544-90e2-bf6698995478</t>
  </si>
  <si>
    <t>w_68ce2422-e2df-42d2-b501-0225ab49eb78</t>
  </si>
  <si>
    <t>w_4ce74212-ad7e-4108-989a-bb778afb119a</t>
  </si>
  <si>
    <t>w_3d599b51-c04b-413d-b904-2742c408a32e</t>
  </si>
  <si>
    <t>w_3ac4a14c-29bd-4fe1-8ac7-4f5c5f92cf7b</t>
  </si>
  <si>
    <t>w_393f47c6-7d57-43cb-8434-fc7ed2b34f6c</t>
  </si>
  <si>
    <t>w_338bef2e-ea8e-430e-af56-326d79d8ea69</t>
  </si>
  <si>
    <t>w_2ed10b2f-1055-45d9-b38f-6e86e9e31060</t>
  </si>
  <si>
    <t>w_24544d0b-7f4f-49a6-98ee-9e478afb3e52</t>
  </si>
  <si>
    <t>w_235ba7e9-2fb2-495f-88c4-e9d58cc94ecc</t>
  </si>
  <si>
    <t>w_137b20b4-0b2a-4a83-8dac-47a7e42c1843</t>
  </si>
  <si>
    <t>w_03c6c5f8-e9e5-4ff3-a961-dc5be24b2454</t>
  </si>
  <si>
    <t>worker id</t>
  </si>
  <si>
    <t>salary</t>
  </si>
  <si>
    <t>week6</t>
  </si>
  <si>
    <t>week7</t>
  </si>
  <si>
    <t>Biofuel Revenue</t>
  </si>
  <si>
    <t>Biofuel Revnue</t>
  </si>
  <si>
    <t>Biofuel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</si>
</sst>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NOK]_-;\-* #,##0.00\ [$NOK]_-;_-* &quot;-&quot;??\ [$NOK]_-;_-@_-"/>
    <numFmt numFmtId="165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double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2" xfId="0" applyBorder="1"/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0" fontId="0" fillId="0" borderId="2" xfId="0" applyNumberFormat="1" applyBorder="1"/>
    <xf numFmtId="164" fontId="0" fillId="0" borderId="2" xfId="0" applyNumberFormat="1" applyBorder="1"/>
    <xf numFmtId="0" fontId="1" fillId="2" borderId="0" xfId="0" applyFont="1" applyFill="1"/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/>
    <xf numFmtId="2" fontId="2" fillId="0" borderId="3" xfId="0" applyNumberFormat="1" applyFont="1" applyBorder="1" applyAlignment="1">
      <alignment vertical="center" wrapText="1"/>
    </xf>
    <xf numFmtId="2" fontId="2" fillId="0" borderId="3" xfId="0" applyNumberFormat="1" applyFont="1" applyBorder="1"/>
    <xf numFmtId="10" fontId="2" fillId="0" borderId="3" xfId="0" applyNumberFormat="1" applyFont="1" applyBorder="1"/>
    <xf numFmtId="164" fontId="2" fillId="0" borderId="3" xfId="0" applyNumberFormat="1" applyFont="1" applyBorder="1"/>
    <xf numFmtId="164" fontId="0" fillId="0" borderId="2" xfId="0" applyNumberFormat="1" applyBorder="1" applyAlignment="1">
      <alignment vertical="center" wrapText="1"/>
    </xf>
    <xf numFmtId="0" fontId="1" fillId="2" borderId="4" xfId="0" applyFont="1" applyFill="1" applyBorder="1"/>
    <xf numFmtId="2" fontId="4" fillId="0" borderId="5" xfId="0" applyNumberFormat="1" applyFont="1" applyBorder="1" applyAlignment="1">
      <alignment vertical="center" wrapText="1"/>
    </xf>
    <xf numFmtId="2" fontId="4" fillId="0" borderId="6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65" fontId="0" fillId="0" borderId="0" xfId="0" applyNumberFormat="1"/>
    <xf numFmtId="10" fontId="0" fillId="0" borderId="0" xfId="1" applyNumberFormat="1" applyFont="1"/>
    <xf numFmtId="44" fontId="0" fillId="0" borderId="0" xfId="0" applyNumberFormat="1"/>
    <xf numFmtId="165" fontId="0" fillId="0" borderId="0" xfId="2" applyNumberFormat="1" applyFont="1"/>
    <xf numFmtId="0" fontId="1" fillId="2" borderId="7" xfId="0" applyFont="1" applyFill="1" applyBorder="1"/>
    <xf numFmtId="2" fontId="0" fillId="3" borderId="8" xfId="0" applyNumberFormat="1" applyFill="1" applyBorder="1" applyAlignment="1">
      <alignment vertical="center" wrapText="1"/>
    </xf>
    <xf numFmtId="2" fontId="0" fillId="0" borderId="8" xfId="0" applyNumberFormat="1" applyBorder="1" applyAlignment="1">
      <alignment vertical="center" wrapText="1"/>
    </xf>
    <xf numFmtId="1" fontId="0" fillId="0" borderId="0" xfId="0" applyNumberFormat="1"/>
    <xf numFmtId="0" fontId="1" fillId="2" borderId="9" xfId="0" applyFont="1" applyFill="1" applyBorder="1"/>
    <xf numFmtId="0" fontId="1" fillId="2" borderId="10" xfId="0" applyFont="1" applyFill="1" applyBorder="1"/>
    <xf numFmtId="164" fontId="0" fillId="0" borderId="0" xfId="0" applyNumberFormat="1" applyFont="1" applyBorder="1"/>
    <xf numFmtId="0" fontId="0" fillId="0" borderId="0" xfId="0" applyBorder="1"/>
    <xf numFmtId="2" fontId="0" fillId="0" borderId="8" xfId="0" applyNumberFormat="1" applyBorder="1"/>
    <xf numFmtId="2" fontId="0" fillId="0" borderId="0" xfId="0" applyNumberFormat="1" applyBorder="1" applyAlignment="1">
      <alignment vertical="center" wrapText="1"/>
    </xf>
  </cellXfs>
  <cellStyles count="3">
    <cellStyle name="Prozent" xfId="1" builtinId="5"/>
    <cellStyle name="Standard" xfId="0" builtinId="0"/>
    <cellStyle name="Währung" xfId="2" builtinId="4"/>
  </cellStyles>
  <dxfs count="159">
    <dxf>
      <numFmt numFmtId="165" formatCode="_-[$$-409]* #,##0.00_ ;_-[$$-409]* \-#,##0.00\ ;_-[$$-409]* &quot;-&quot;??_ ;_-@_ "/>
    </dxf>
    <dxf>
      <border diagonalUp="0" diagonalDown="0" outline="0">
        <left/>
        <right/>
        <top/>
        <bottom/>
      </border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4" formatCode="0.00%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2" formatCode="0.00"/>
    </dxf>
    <dxf>
      <numFmt numFmtId="165" formatCode="_-[$$-409]* #,##0.00_ ;_-[$$-409]* \-#,##0.00\ ;_-[$$-409]* &quot;-&quot;??_ ;_-@_ "/>
    </dxf>
    <dxf>
      <numFmt numFmtId="34" formatCode="_-* #,##0.00\ &quot;€&quot;_-;\-* #,##0.00\ &quot;€&quot;_-;_-* &quot;-&quot;??\ &quot;€&quot;_-;_-@_-"/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border diagonalUp="0" diagonalDown="0" outline="0">
        <left/>
        <right/>
        <top style="thin">
          <color theme="1"/>
        </top>
        <bottom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4" formatCode="0.00%"/>
    </dxf>
    <dxf>
      <numFmt numFmtId="2" formatCode="0.0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4" formatCode="0.0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" formatCode="0"/>
    </dxf>
    <dxf>
      <numFmt numFmtId="2" formatCode="0.00"/>
    </dxf>
    <dxf>
      <numFmt numFmtId="1" formatCode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2" formatCode="0.00"/>
    </dxf>
    <dxf>
      <numFmt numFmtId="165" formatCode="_-[$$-409]* #,##0.00_ ;_-[$$-409]* \-#,##0.00\ ;_-[$$-409]* &quot;-&quot;??_ ;_-@_ "/>
    </dxf>
    <dxf>
      <numFmt numFmtId="14" formatCode="0.00%"/>
    </dxf>
    <dxf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$-409]* #,##0.00_ ;_-[$$-409]* \-#,##0.00\ ;_-[$$-409]* &quot;-&quot;??_ ;_-@_ 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0" formatCode="General"/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4" formatCode="0.00%"/>
    </dxf>
    <dxf>
      <numFmt numFmtId="2" formatCode="0.0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double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week4!$H$18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week4!$I$18</c:f>
              <c:numCache>
                <c:formatCode>_-[$$-409]* #,##0.00_ ;_-[$$-409]* \-#,##0.00\ ;_-[$$-409]* "-"??_ ;_-@_ </c:formatCode>
                <c:ptCount val="1"/>
                <c:pt idx="0">
                  <c:v>-378958.46786901419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9-4F0B-9F1C-287BD3E1E5F3}"/>
            </c:ext>
          </c:extLst>
        </c:ser>
        <c:ser>
          <c:idx val="1"/>
          <c:order val="1"/>
          <c:tx>
            <c:strRef>
              <c:f>week4!$H$19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week4!$I$19</c:f>
              <c:numCache>
                <c:formatCode>_-[$$-409]* #,##0.00_ ;_-[$$-409]* \-#,##0.00\ ;_-[$$-409]* "-"??_ ;_-@_ </c:formatCode>
                <c:ptCount val="1"/>
                <c:pt idx="0">
                  <c:v>-634733.36786901427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9-4F0B-9F1C-287BD3E1E5F3}"/>
            </c:ext>
          </c:extLst>
        </c:ser>
        <c:ser>
          <c:idx val="2"/>
          <c:order val="2"/>
          <c:tx>
            <c:strRef>
              <c:f>week4!$H$20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week4!$I$20</c:f>
              <c:numCache>
                <c:formatCode>_-[$$-409]* #,##0.00_ ;_-[$$-409]* \-#,##0.00\ ;_-[$$-409]* "-"??_ ;_-@_ </c:formatCode>
                <c:ptCount val="1"/>
                <c:pt idx="0">
                  <c:v>-1599370.0078690141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B9-4F0B-9F1C-287BD3E1E5F3}"/>
            </c:ext>
          </c:extLst>
        </c:ser>
        <c:ser>
          <c:idx val="3"/>
          <c:order val="3"/>
          <c:tx>
            <c:strRef>
              <c:f>week4!$H$21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week4!$I$21</c:f>
              <c:numCache>
                <c:formatCode>_-[$$-409]* #,##0.00_ ;_-[$$-409]* \-#,##0.00\ ;_-[$$-409]* "-"??_ ;_-@_ </c:formatCode>
                <c:ptCount val="1"/>
                <c:pt idx="0">
                  <c:v>-444942.02786901419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9-4F0B-9F1C-287BD3E1E5F3}"/>
            </c:ext>
          </c:extLst>
        </c:ser>
        <c:ser>
          <c:idx val="4"/>
          <c:order val="4"/>
          <c:tx>
            <c:strRef>
              <c:f>week4!$H$22</c:f>
              <c:strCache>
                <c:ptCount val="1"/>
                <c:pt idx="0">
                  <c:v>week4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week4!$I$22</c:f>
              <c:numCache>
                <c:formatCode>_-[$$-409]* #,##0.00_ ;_-[$$-409]* \-#,##0.00\ ;_-[$$-409]* "-"??_ ;_-@_ </c:formatCode>
                <c:ptCount val="1"/>
                <c:pt idx="0">
                  <c:v>308295.84213098581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B9-4F0B-9F1C-287BD3E1E5F3}"/>
            </c:ext>
          </c:extLst>
        </c:ser>
        <c:ser>
          <c:idx val="5"/>
          <c:order val="5"/>
          <c:tx>
            <c:strRef>
              <c:f>week4!$H$23</c:f>
              <c:strCache>
                <c:ptCount val="1"/>
                <c:pt idx="0">
                  <c:v>week5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week4!$I$23</c:f>
              <c:numCache>
                <c:formatCode>_-[$$-409]* #,##0.00_ ;_-[$$-409]* \-#,##0.00\ ;_-[$$-409]* "-"??_ ;_-@_ </c:formatCode>
                <c:ptCount val="1"/>
                <c:pt idx="0">
                  <c:v>314909.19213098579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3-41FD-A8CA-681733128992}"/>
            </c:ext>
          </c:extLst>
        </c:ser>
        <c:ser>
          <c:idx val="6"/>
          <c:order val="6"/>
          <c:tx>
            <c:strRef>
              <c:f>week4!$H$24</c:f>
              <c:strCache>
                <c:ptCount val="1"/>
                <c:pt idx="0">
                  <c:v>week6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week4!$I$24</c:f>
              <c:numCache>
                <c:formatCode>_-[$$-409]* #,##0.00_ ;_-[$$-409]* \-#,##0.00\ ;_-[$$-409]* "-"??_ ;_-@_ </c:formatCode>
                <c:ptCount val="1"/>
                <c:pt idx="0">
                  <c:v>266843.31213098578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64-49FD-B5E7-E1B4C8513313}"/>
            </c:ext>
          </c:extLst>
        </c:ser>
        <c:ser>
          <c:idx val="7"/>
          <c:order val="7"/>
          <c:tx>
            <c:strRef>
              <c:f>week4!$H$25</c:f>
              <c:strCache>
                <c:ptCount val="1"/>
                <c:pt idx="0">
                  <c:v>week7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week4!$I$25</c:f>
              <c:numCache>
                <c:formatCode>_-[$$-409]* #,##0.00_ ;_-[$$-409]* \-#,##0.00\ ;_-[$$-409]* "-"??_ ;_-@_ </c:formatCode>
                <c:ptCount val="1"/>
                <c:pt idx="0">
                  <c:v>279778.51213098573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D-4B20-B633-9FF4E4B6E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week4!$H$18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week4!$J$18</c:f>
              <c:numCache>
                <c:formatCode>_-[$$-409]* #,##0.00_ ;_-[$$-409]* \-#,##0.00\ ;_-[$$-409]* "-"??_ ;_-@_ </c:formatCode>
                <c:ptCount val="1"/>
                <c:pt idx="0">
                  <c:v>-177660.80999999997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940-4BC7-9BEC-F2C33940EF4E}"/>
            </c:ext>
          </c:extLst>
        </c:ser>
        <c:ser>
          <c:idx val="1"/>
          <c:order val="1"/>
          <c:tx>
            <c:strRef>
              <c:f>week4!$H$19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week4!$J$19</c:f>
              <c:numCache>
                <c:formatCode>_-[$$-409]* #,##0.00_ ;_-[$$-409]* \-#,##0.00\ ;_-[$$-409]* "-"??_ ;_-@_ </c:formatCode>
                <c:ptCount val="1"/>
                <c:pt idx="0">
                  <c:v>-433435.71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940-4BC7-9BEC-F2C33940EF4E}"/>
            </c:ext>
          </c:extLst>
        </c:ser>
        <c:ser>
          <c:idx val="2"/>
          <c:order val="2"/>
          <c:tx>
            <c:strRef>
              <c:f>week4!$H$20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week4!$J$20</c:f>
              <c:numCache>
                <c:formatCode>_-[$$-409]* #,##0.00_ ;_-[$$-409]* \-#,##0.00\ ;_-[$$-409]* "-"??_ ;_-@_ </c:formatCode>
                <c:ptCount val="1"/>
                <c:pt idx="0">
                  <c:v>-1398072.3499999999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2940-4BC7-9BEC-F2C33940EF4E}"/>
            </c:ext>
          </c:extLst>
        </c:ser>
        <c:ser>
          <c:idx val="3"/>
          <c:order val="3"/>
          <c:tx>
            <c:strRef>
              <c:f>week4!$H$21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week4!$J$21</c:f>
              <c:numCache>
                <c:formatCode>_-[$$-409]* #,##0.00_ ;_-[$$-409]* \-#,##0.00\ ;_-[$$-409]* "-"??_ ;_-@_ </c:formatCode>
                <c:ptCount val="1"/>
                <c:pt idx="0">
                  <c:v>-243644.37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2940-4BC7-9BEC-F2C33940EF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15</xdr:row>
      <xdr:rowOff>156209</xdr:rowOff>
    </xdr:from>
    <xdr:to>
      <xdr:col>7</xdr:col>
      <xdr:colOff>614516</xdr:colOff>
      <xdr:row>32</xdr:row>
      <xdr:rowOff>15711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9952BAE-628F-CFF3-A2EA-5242DD1B5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34</xdr:row>
      <xdr:rowOff>0</xdr:rowOff>
    </xdr:from>
    <xdr:to>
      <xdr:col>5</xdr:col>
      <xdr:colOff>129540</xdr:colOff>
      <xdr:row>49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29A917-9439-44E9-85CB-1307D79EE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85EB34-851D-4EC8-AC88-F3D614D85752}" name="Tabelle7" displayName="Tabelle7" ref="A1:M15" totalsRowShown="0" headerRowDxfId="158" dataDxfId="157" tableBorderDxfId="156">
  <autoFilter ref="A1:M15" xr:uid="{DC85EB34-851D-4EC8-AC88-F3D614D85752}"/>
  <tableColumns count="13">
    <tableColumn id="1" xr3:uid="{6C3D9482-C128-4CF5-8697-14C52C014B21}" name="Week" dataDxfId="155"/>
    <tableColumn id="2" xr3:uid="{39C15BF7-A8CA-4D48-8136-6DBBD5A7A4CA}" name="Article Name" dataDxfId="154"/>
    <tableColumn id="3" xr3:uid="{B569BD3E-3B49-464A-80EE-938EB91CA167}" name="Amount Sold" dataDxfId="153"/>
    <tableColumn id="4" xr3:uid="{784AD4A0-3B20-4705-AE58-9C0D6D2597B3}" name="Amount Bought" dataDxfId="152"/>
    <tableColumn id="5" xr3:uid="{AA87AADD-D4CE-48CE-A07F-63510DC7FDDF}" name="Selling Price" dataDxfId="151"/>
    <tableColumn id="6" xr3:uid="{0D46591D-0AD8-488D-B723-42E6E8EEE437}" name="Spalte1" dataDxfId="150"/>
    <tableColumn id="7" xr3:uid="{34EC0C61-5D67-48A6-87EB-5DF0E2797F41}" name="Supplier Price" dataDxfId="149"/>
    <tableColumn id="8" xr3:uid="{EDEE1862-5820-4222-AF35-3C74F35408EC}" name="Profit Margin" dataDxfId="148"/>
    <tableColumn id="9" xr3:uid="{1FEED274-7A4D-4B25-B741-55F57A075E99}" name="%Profit Margin" dataDxfId="147"/>
    <tableColumn id="10" xr3:uid="{D514297C-1E86-4337-9804-26BF744A887B}" name="Revenue" dataDxfId="146"/>
    <tableColumn id="11" xr3:uid="{78D32F74-39EA-4B9D-BE8D-22E8B3E976CE}" name="Expenses" dataDxfId="145"/>
    <tableColumn id="12" xr3:uid="{E5DCFEB5-89D4-4A8F-B490-1C0551167503}" name="Profit" dataDxfId="144"/>
    <tableColumn id="13" xr3:uid="{FDC8B833-EB59-4940-AF20-FF8D622185EB}" name="Biofuel Revnue" dataDxfId="54">
      <calculatedColumnFormula>F2*G2*0.25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EF13FB-8972-4369-883E-7CCAB9AF8A51}" name="Tabelle9" displayName="Tabelle9" ref="A1:M14" totalsRowShown="0" headerRowDxfId="143" dataDxfId="142" tableBorderDxfId="141">
  <autoFilter ref="A1:M14" xr:uid="{63EF13FB-8972-4369-883E-7CCAB9AF8A51}"/>
  <tableColumns count="13">
    <tableColumn id="1" xr3:uid="{A93C433C-D44E-4AA8-9101-32E55E2372F2}" name="Week" dataDxfId="140"/>
    <tableColumn id="2" xr3:uid="{A08AFE2F-5AF5-46C9-A78C-5F111DBE3678}" name="Article Name" dataDxfId="139"/>
    <tableColumn id="3" xr3:uid="{F5E707A8-3F26-4895-9EDC-186F14B4F798}" name="Amount Sold" dataDxfId="138"/>
    <tableColumn id="4" xr3:uid="{2928E6D4-F6F6-4CDC-8282-6BCE4336FD15}" name="Amount Bought" dataDxfId="137"/>
    <tableColumn id="5" xr3:uid="{B8EB7217-F464-4AF6-A75D-7198F80B65B5}" name="Selling Price" dataDxfId="136"/>
    <tableColumn id="7" xr3:uid="{3E763C0B-53A1-4152-B2CC-EC7F2B505FC5}" name="Amount Expired" dataDxfId="135">
      <calculatedColumnFormula>Tabelle9[[#This Row],[Amount Bought]]-Tabelle9[[#This Row],[Amount Sold]]</calculatedColumnFormula>
    </tableColumn>
    <tableColumn id="6" xr3:uid="{2997039B-45FC-43F7-90AC-9DD3D2D8F258}" name="Supplier Price" dataDxfId="134"/>
    <tableColumn id="8" xr3:uid="{A239E306-432D-41C7-8B96-2FDDB2CE27EC}" name="Profit Margin" dataDxfId="133">
      <calculatedColumnFormula>Tabelle9[[#This Row],[Selling Price]]-Tabelle9[[#This Row],[Supplier Price]]</calculatedColumnFormula>
    </tableColumn>
    <tableColumn id="9" xr3:uid="{9C77C253-F057-42FA-A2F8-28351CFDD9D8}" name="%Profit Margin" dataDxfId="132">
      <calculatedColumnFormula>Tabelle9[[#This Row],[Profit Margin]]/Tabelle9[[#This Row],[Selling Price]]</calculatedColumnFormula>
    </tableColumn>
    <tableColumn id="10" xr3:uid="{8E29A52B-EF8B-45C2-B5A5-F3CD1A29103F}" name="Revenue" dataDxfId="131">
      <calculatedColumnFormula>Tabelle9[[#This Row],[Amount Sold]]*Tabelle9[[#This Row],[Selling Price]]</calculatedColumnFormula>
    </tableColumn>
    <tableColumn id="11" xr3:uid="{382E498D-F004-494E-8C51-DF874E952025}" name="Expenses" dataDxfId="130">
      <calculatedColumnFormula>Tabelle9[[#This Row],[Amount Bought]]*Tabelle9[[#This Row],[Supplier Price]]</calculatedColumnFormula>
    </tableColumn>
    <tableColumn id="12" xr3:uid="{5D1FF471-BC5B-4C72-9C69-04AC3567C6EF}" name="Profit" dataDxfId="53">
      <calculatedColumnFormula>Tabelle9[[#This Row],[Revenue]]-Tabelle9[[#This Row],[Expenses]] +Tabelle9[[#This Row],[Biofuel revenue]]</calculatedColumnFormula>
    </tableColumn>
    <tableColumn id="13" xr3:uid="{1493D2C8-7195-40BB-8CB6-323EAC80D00B}" name="Biofuel revenue" dataDxfId="52">
      <calculatedColumnFormula>Tabelle9[[#This Row],[Amount Expired]]*Tabelle9[[#This Row],[Supplier Price]]*0.25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A7A96-BB3C-477D-879C-9D512651BA2C}" name="Tabelle10" displayName="Tabelle10" ref="A1:M15" totalsRowCount="1" dataDxfId="129" tableBorderDxfId="128">
  <autoFilter ref="A1:M14" xr:uid="{C15A7A96-BB3C-477D-879C-9D512651BA2C}"/>
  <tableColumns count="13">
    <tableColumn id="1" xr3:uid="{23D5017E-38AB-409E-8F63-8629581D39BB}" name="week" dataDxfId="127" totalsRowDxfId="50"/>
    <tableColumn id="2" xr3:uid="{5E1C8668-4ED4-41B5-9164-B9458F7E8E60}" name="Article Name" dataDxfId="126" totalsRowDxfId="49"/>
    <tableColumn id="3" xr3:uid="{69B3EB29-57F5-4CA8-8CCC-18D86367A377}" name="Amount Sold" dataDxfId="125" totalsRowDxfId="48"/>
    <tableColumn id="4" xr3:uid="{1BEFA799-9781-4FB3-8EE6-F5FE55F175D3}" name="Amount Bought" dataDxfId="124" totalsRowDxfId="47"/>
    <tableColumn id="5" xr3:uid="{37533D13-0030-4E25-9237-A2AF20040845}" name="Selling Price" dataDxfId="123" totalsRowDxfId="46"/>
    <tableColumn id="6" xr3:uid="{C2D8D6C2-D1EB-4FCA-9E06-AB1FF0FEB93F}" name="Amount Expired" dataDxfId="122" totalsRowDxfId="45">
      <calculatedColumnFormula>Tabelle10[[#This Row],[Amount Bought]]-Tabelle10[[#This Row],[Amount Sold]]</calculatedColumnFormula>
    </tableColumn>
    <tableColumn id="7" xr3:uid="{8F90424B-EF03-44FF-9C3B-734C366C5AE6}" name="Supplier Price" dataDxfId="121" totalsRowDxfId="44"/>
    <tableColumn id="8" xr3:uid="{91E02B30-2473-4E93-A096-1E726C60DA59}" name="Profit Margin" dataDxfId="120" totalsRowDxfId="43">
      <calculatedColumnFormula>Tabelle10[[#This Row],[Selling Price]]-Tabelle10[[#This Row],[Supplier Price]]</calculatedColumnFormula>
    </tableColumn>
    <tableColumn id="9" xr3:uid="{EE7D9F13-D907-4DAB-9E98-860B3DE96201}" name="%Profit Margin" dataDxfId="119" totalsRowDxfId="42">
      <calculatedColumnFormula>Tabelle10[[#This Row],[Profit Margin]]/Tabelle10[[#This Row],[Selling Price]]</calculatedColumnFormula>
    </tableColumn>
    <tableColumn id="10" xr3:uid="{B9E8410B-4E7A-4C93-A657-3E446CAF0267}" name="Revenue" totalsRowFunction="custom" dataDxfId="118" totalsRowDxfId="41">
      <calculatedColumnFormula>Tabelle10[[#This Row],[Amount Sold]]*Tabelle10[[#This Row],[Selling Price]]</calculatedColumnFormula>
      <totalsRowFormula>SUM(Tabelle10[Revenue])</totalsRowFormula>
    </tableColumn>
    <tableColumn id="11" xr3:uid="{6DDB5051-22F1-400F-86D9-2CED19C7318C}" name="Expenses" totalsRowFunction="custom" dataDxfId="117" totalsRowDxfId="40">
      <calculatedColumnFormula>Tabelle10[[#This Row],[Amount Bought]]*Tabelle10[[#This Row],[Supplier Price]]</calculatedColumnFormula>
      <totalsRowFormula>SUM(Tabelle10[Expenses])</totalsRowFormula>
    </tableColumn>
    <tableColumn id="12" xr3:uid="{C2C1AAA8-7D39-4324-A89C-33037646368B}" name="Profit" totalsRowFunction="custom" dataDxfId="37" totalsRowDxfId="39">
      <calculatedColumnFormula>Tabelle10[[#This Row],[Revenue]]-Tabelle10[[#This Row],[Expenses]] + Tabelle10[[#This Row],[Biofuel Revenue]]</calculatedColumnFormula>
      <totalsRowFormula>SUM(Tabelle10[Profit])</totalsRowFormula>
    </tableColumn>
    <tableColumn id="13" xr3:uid="{4ECA85CE-77D2-4D2C-AD08-4A2D9504F516}" name="Biofuel Revenue" dataDxfId="51" totalsRowDxfId="38">
      <calculatedColumnFormula>Tabelle10[[#This Row],[Amount Expired]]*Tabelle10[[#This Row],[Supplier Price]]*0.25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E08976-EA16-4314-962D-8A1541EE7CBC}" name="Tabelle11" displayName="Tabelle11" ref="A1:M15" totalsRowCount="1" headerRowDxfId="116" dataDxfId="115" tableBorderDxfId="114">
  <autoFilter ref="A1:M14" xr:uid="{20E08976-EA16-4314-962D-8A1541EE7CBC}"/>
  <tableColumns count="13">
    <tableColumn id="1" xr3:uid="{2C0A3F2E-50C3-4DAE-9640-9ED98B16D0BA}" name="week" dataDxfId="113" totalsRowDxfId="35"/>
    <tableColumn id="2" xr3:uid="{CB1974ED-2F51-479C-A64E-190510915B04}" name="Article Name" dataDxfId="112" totalsRowDxfId="34"/>
    <tableColumn id="3" xr3:uid="{D6FDFFD5-CCFD-47F7-B30D-C8109F2825CC}" name="Amount Sold" dataDxfId="111" totalsRowDxfId="33"/>
    <tableColumn id="4" xr3:uid="{31972FB6-9789-4E7B-91D6-5BBF5E25C0C8}" name="Amount Bought" dataDxfId="110" totalsRowDxfId="32"/>
    <tableColumn id="5" xr3:uid="{1A92FE5F-C19D-4DCB-9B2F-9C2863C681A3}" name="Selling Price" dataDxfId="109" totalsRowDxfId="31"/>
    <tableColumn id="6" xr3:uid="{15545C38-1452-486E-8639-0D1724BE0B50}" name="Amount Expired" dataDxfId="108" totalsRowDxfId="30">
      <calculatedColumnFormula>D2-C2</calculatedColumnFormula>
    </tableColumn>
    <tableColumn id="7" xr3:uid="{D07088A9-7C2F-4F2A-946D-73E9953044E9}" name="Supplier Price" totalsRowDxfId="29"/>
    <tableColumn id="8" xr3:uid="{65DD0F98-38F7-4E72-A7A1-C19DC329983A}" name="Profit Margin" dataDxfId="107" totalsRowDxfId="28">
      <calculatedColumnFormula>Tabelle11[[#This Row],[Selling Price]]-Tabelle11[[#This Row],[Supplier Price]]</calculatedColumnFormula>
    </tableColumn>
    <tableColumn id="9" xr3:uid="{2A6C836F-D728-438D-89A5-4B413CB29CA7}" name="%Profit Margin" dataDxfId="106" totalsRowDxfId="27">
      <calculatedColumnFormula>Tabelle11[[#This Row],[Profit Margin]]/Tabelle11[[#This Row],[Selling Price]]</calculatedColumnFormula>
    </tableColumn>
    <tableColumn id="10" xr3:uid="{8B845561-5985-4727-859C-33F8D603745F}" name="Revenue" totalsRowFunction="custom" dataDxfId="105" totalsRowDxfId="26">
      <calculatedColumnFormula>Tabelle11[[#This Row],[Amount Sold]]*Tabelle11[[#This Row],[Selling Price]]</calculatedColumnFormula>
      <totalsRowFormula>SUM(Tabelle11[Revenue])</totalsRowFormula>
    </tableColumn>
    <tableColumn id="11" xr3:uid="{46223794-A76E-4FF6-8335-98DC1AE025D9}" name="Expenses" totalsRowFunction="custom" dataDxfId="104" totalsRowDxfId="25">
      <calculatedColumnFormula>Tabelle11[[#This Row],[Amount Bought]]*Tabelle11[[#This Row],[Supplier Price]]</calculatedColumnFormula>
      <totalsRowFormula>SUM(Tabelle11[Expenses])</totalsRowFormula>
    </tableColumn>
    <tableColumn id="12" xr3:uid="{DF60E1DD-4F77-46FA-A735-5454D4E8835F}" name="Profit" totalsRowFunction="custom" dataDxfId="22" totalsRowDxfId="24">
      <calculatedColumnFormula>Tabelle11[[#This Row],[Revenue]]-Tabelle11[[#This Row],[Expenses]] + Tabelle11[[#This Row],[Biofuel Revenue]]</calculatedColumnFormula>
      <totalsRowFormula>SUM(Tabelle11[Profit])</totalsRowFormula>
    </tableColumn>
    <tableColumn id="13" xr3:uid="{CDD6D4A6-FE04-4DBA-ABC2-4605D8C33837}" name="Biofuel Revenue" dataDxfId="36" totalsRowDxfId="23">
      <calculatedColumnFormula>Tabelle11[[#This Row],[Amount Expired]]*Tabelle11[[#This Row],[Supplier Price]]*0.25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E6FE3B-135B-472F-A0AC-E463CDC2F20D}" name="Tabelle1" displayName="Tabelle1" ref="A1:M15" totalsRowCount="1">
  <autoFilter ref="A1:M14" xr:uid="{8FE6FE3B-135B-472F-A0AC-E463CDC2F20D}"/>
  <sortState xmlns:xlrd2="http://schemas.microsoft.com/office/spreadsheetml/2017/richdata2" ref="A2:L14">
    <sortCondition ref="B1:B14"/>
  </sortState>
  <tableColumns count="13">
    <tableColumn id="1" xr3:uid="{CFE8BE4A-9813-4B40-8C40-BE7D151CBCFC}" name="week" totalsRowLabel="Totals" dataDxfId="103" totalsRowDxfId="66"/>
    <tableColumn id="3" xr3:uid="{BDD9E0D7-4C12-44D3-8CDD-CA6286225043}" name="Article Name" dataDxfId="102" totalsRowDxfId="65"/>
    <tableColumn id="5" xr3:uid="{8D01717D-A639-42DE-B5F9-F7BFCB285358}" name="Amount Bought" totalsRowFunction="custom" dataDxfId="101">
      <totalsRowFormula>SUM(Tabelle1[Amount Bought])</totalsRowFormula>
    </tableColumn>
    <tableColumn id="4" xr3:uid="{07C89751-CD7A-43A8-916B-596D2AE3D0DC}" name="Amount Sold" totalsRowFunction="custom" dataDxfId="100" totalsRowDxfId="64">
      <totalsRowFormula>SUM(Tabelle1[Amount Sold])</totalsRowFormula>
    </tableColumn>
    <tableColumn id="6" xr3:uid="{602C4309-706F-4AF1-AE88-31A14E38057E}" name="Selling Price" dataDxfId="99" totalsRowDxfId="63"/>
    <tableColumn id="11" xr3:uid="{C1D5695E-50A8-4976-8F36-9C55A59CABC8}" name="Amount Expired" totalsRowFunction="custom" dataDxfId="98">
      <calculatedColumnFormula>Tabelle1[[#This Row],[Amount Bought]]-Tabelle1[[#This Row],[Amount Sold]]</calculatedColumnFormula>
      <totalsRowFormula>SUM(Tabelle1[Amount Expired])</totalsRowFormula>
    </tableColumn>
    <tableColumn id="7" xr3:uid="{13B1E7A6-380E-4336-92F9-FBA2C41E70C0}" name="Supplier Price" dataDxfId="97" totalsRowDxfId="62"/>
    <tableColumn id="8" xr3:uid="{E3F4AF1C-BFEA-4111-9A87-1638214AD2C6}" name="Profit Margin" dataDxfId="96" totalsRowDxfId="61">
      <calculatedColumnFormula>E2-G2</calculatedColumnFormula>
    </tableColumn>
    <tableColumn id="9" xr3:uid="{26C9CCDC-95EF-435F-8A7C-47D9AC12493E}" name="%Profit Margin" dataDxfId="95" totalsRowDxfId="60">
      <calculatedColumnFormula>H2/E2</calculatedColumnFormula>
    </tableColumn>
    <tableColumn id="12" xr3:uid="{3BD03563-8BF5-4F93-85B4-74C22A81B785}" name="Revenue" totalsRowFunction="custom" dataDxfId="94" totalsRowDxfId="59">
      <calculatedColumnFormula>Tabelle1[[#This Row],[Amount Sold]]*Tabelle1[[#This Row],[Selling Price]]</calculatedColumnFormula>
      <totalsRowFormula>SUM(Tabelle1[Revenue])</totalsRowFormula>
    </tableColumn>
    <tableColumn id="13" xr3:uid="{A93FF597-8DD3-48F6-B021-7B66B8EF458B}" name="Expenses" totalsRowFunction="custom" dataDxfId="93" totalsRowDxfId="58">
      <calculatedColumnFormula>Tabelle1[[#This Row],[Amount Bought]]*Tabelle1[[#This Row],[Supplier Price]]</calculatedColumnFormula>
      <totalsRowFormula>SUM(Tabelle1[Expenses])</totalsRowFormula>
    </tableColumn>
    <tableColumn id="17" xr3:uid="{60EA7E2F-FEC1-401D-ACF1-CCC9FFADE145}" name="Profit" totalsRowFunction="custom" dataDxfId="55" totalsRowDxfId="57">
      <calculatedColumnFormula>Tabelle1[[#This Row],[Revenue]]-Tabelle1[[#This Row],[Expenses]]+Tabelle1[[#This Row],[Biofuel Revenue]]</calculatedColumnFormula>
      <totalsRowFormula>SUM(Tabelle1[Profit])</totalsRowFormula>
    </tableColumn>
    <tableColumn id="10" xr3:uid="{3AF6F194-8A81-4442-A77E-166A06B44DF7}" name="Biofuel Revenue" totalsRowFunction="sum" dataDxfId="67" totalsRowDxfId="56">
      <calculatedColumnFormula>Tabelle1[[#This Row],[Amount Expired]]*Tabelle1[[#This Row],[Supplier Price]]*0.25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A48D23-B476-4FDF-A031-48CFC7A1E1CF}" name="Tabelle2" displayName="Tabelle2" ref="A1:M15" totalsRowShown="0">
  <autoFilter ref="A1:M15" xr:uid="{7EA48D23-B476-4FDF-A031-48CFC7A1E1CF}"/>
  <sortState xmlns:xlrd2="http://schemas.microsoft.com/office/spreadsheetml/2017/richdata2" ref="A2:L15">
    <sortCondition ref="B1:B15"/>
  </sortState>
  <tableColumns count="13">
    <tableColumn id="1" xr3:uid="{8B6EEE7B-E7A7-4679-BD54-A58E7B3522E4}" name="week"/>
    <tableColumn id="2" xr3:uid="{6AABAB11-4636-4C32-AD39-B8F774B3E065}" name="Article Name"/>
    <tableColumn id="3" xr3:uid="{6FFDF7C5-FF30-484E-8E88-0A73D103A201}" name="Amount Sold"/>
    <tableColumn id="4" xr3:uid="{0B7AB469-B6B4-43B3-A24F-E4E6AEF37DE7}" name="Amount Bought"/>
    <tableColumn id="5" xr3:uid="{AC86B996-180D-4AD6-8873-C4BC4FEF1FB8}" name="Selling Price" dataDxfId="92"/>
    <tableColumn id="6" xr3:uid="{CAE0B37F-739B-42D4-9791-00A58A6E874D}" name="Amount Expired" dataDxfId="91">
      <calculatedColumnFormula>Tabelle2[[#This Row],[Amount Bought]]-Tabelle2[[#This Row],[Amount Sold]]</calculatedColumnFormula>
    </tableColumn>
    <tableColumn id="7" xr3:uid="{892C2ED8-B31E-4A0E-B78A-74CF268121EB}" name="Supplier Price"/>
    <tableColumn id="8" xr3:uid="{1E47B7F1-07F1-4FC0-882C-12606AA35A79}" name="Profit Margin" dataDxfId="90">
      <calculatedColumnFormula>Tabelle2[[#This Row],[Selling Price]]-Tabelle2[[#This Row],[Supplier Price]]</calculatedColumnFormula>
    </tableColumn>
    <tableColumn id="9" xr3:uid="{FA931E10-335A-41CF-B33F-329B88460731}" name="%Profit Margin" dataDxfId="89">
      <calculatedColumnFormula>Tabelle2[[#This Row],[Profit Margin]]/Tabelle2[[#This Row],[Selling Price]]</calculatedColumnFormula>
    </tableColumn>
    <tableColumn id="10" xr3:uid="{47191256-D1E3-4311-8939-9C53B2CAAE11}" name="Revenue" dataDxfId="88">
      <calculatedColumnFormula>Tabelle2[[#This Row],[Amount Sold]]*Tabelle2[[#This Row],[Selling Price]]</calculatedColumnFormula>
    </tableColumn>
    <tableColumn id="11" xr3:uid="{D1D8560B-363A-4BC8-82DF-3D4700642FD1}" name="Expenses" dataDxfId="87">
      <calculatedColumnFormula>Tabelle2[[#This Row],[Amount Bought]]*Tabelle2[[#This Row],[Supplier Price]]</calculatedColumnFormula>
    </tableColumn>
    <tableColumn id="12" xr3:uid="{CBBD0495-6E43-4E39-84D8-9E6ACF26F3FA}" name="Profit" dataDxfId="20">
      <calculatedColumnFormula>Tabelle2[[#This Row],[Revenue]]-Tabelle2[[#This Row],[Expenses]] + Tabelle2[[#This Row],[Biofuel Revenue]]</calculatedColumnFormula>
    </tableColumn>
    <tableColumn id="13" xr3:uid="{990865B7-8122-4ECF-89E0-0E13A8CBEA08}" name="Biofuel Revenue" dataDxfId="21">
      <calculatedColumnFormula>Tabelle2[[#This Row],[Amount Expired]]*Tabelle2[[#This Row],[Supplier Price]]*0.25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1B4F3B-AD09-41BD-8A60-0E1053434BA2}" name="Tabelle3" displayName="Tabelle3" ref="A1:M15" totalsRowCount="1" headerRowDxfId="86" tableBorderDxfId="85">
  <autoFilter ref="A1:M14" xr:uid="{1C1B4F3B-AD09-41BD-8A60-0E1053434BA2}"/>
  <tableColumns count="13">
    <tableColumn id="1" xr3:uid="{76959E86-96B9-474C-BBF9-D7D0CB65B8A7}" name="week"/>
    <tableColumn id="2" xr3:uid="{DCE62937-2BB5-4B58-896E-F935469B47F2}" name="Article Name"/>
    <tableColumn id="3" xr3:uid="{6A5C8B79-7AD3-43B9-9435-5DD90F85EC90}" name="Amount Sold"/>
    <tableColumn id="4" xr3:uid="{CEE2ECFA-783F-489E-A34B-BF9A9710EE45}" name="Amount Bought"/>
    <tableColumn id="5" xr3:uid="{03AFE985-263A-4D5A-B35C-C8A0F79A3522}" name="Selling Price" dataDxfId="84" totalsRowDxfId="18" dataCellStyle="Währung" totalsRowCellStyle="Währung"/>
    <tableColumn id="6" xr3:uid="{D236BF19-5DB4-43D4-9E1B-0E0F7148F484}" name="Amount Expired">
      <calculatedColumnFormula>D2-C2</calculatedColumnFormula>
    </tableColumn>
    <tableColumn id="7" xr3:uid="{631810FC-58CC-430E-9EA2-8AEF7FB06501}" name="Supplier Price" dataDxfId="83" totalsRowDxfId="17"/>
    <tableColumn id="8" xr3:uid="{7886A1EE-D027-4010-A97F-B34C31E28CD5}" name="Profit Margin" dataDxfId="82" totalsRowDxfId="16">
      <calculatedColumnFormula>E2-G2</calculatedColumnFormula>
    </tableColumn>
    <tableColumn id="9" xr3:uid="{1A3285A0-660B-416E-858D-3F720DE5B8AF}" name="%Profit Margin" dataDxfId="81" dataCellStyle="Prozent">
      <calculatedColumnFormula>Tabelle3[[#This Row],[Profit Margin]] /Tabelle3[[#This Row],[Selling Price]]</calculatedColumnFormula>
    </tableColumn>
    <tableColumn id="10" xr3:uid="{37633F6D-9A92-4DCD-8D2C-D3742C9C9C12}" name="Revenue" dataDxfId="80" totalsRowDxfId="15">
      <calculatedColumnFormula>C2*E2</calculatedColumnFormula>
    </tableColumn>
    <tableColumn id="11" xr3:uid="{5DB40701-B438-479C-9651-D75635E91E06}" name="Expenses" dataDxfId="79" totalsRowDxfId="14">
      <calculatedColumnFormula>D2*G2</calculatedColumnFormula>
    </tableColumn>
    <tableColumn id="12" xr3:uid="{BA016414-76EF-4415-B056-925833169E42}" name="Profit" totalsRowFunction="custom" dataDxfId="12" totalsRowDxfId="13">
      <calculatedColumnFormula>J2-K2 + Tabelle3[[#This Row],[Biofuel Revenue]]</calculatedColumnFormula>
      <totalsRowFormula>SUM((L2:L14))</totalsRowFormula>
    </tableColumn>
    <tableColumn id="13" xr3:uid="{13F82D30-CA16-4037-BD0F-1301748551E0}" name="Biofuel Revenue" dataDxfId="19">
      <calculatedColumnFormula>Tabelle3[[#This Row],[Amount Expired]]*Tabelle3[[#This Row],[Supplier Price]]*0.25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01FC9D-E49F-4455-9A15-EF2826AF863C}" name="Tabelle5" displayName="Tabelle5" ref="A1:L15" totalsRowCount="1" headerRowDxfId="78" headerRowBorderDxfId="77" tableBorderDxfId="76">
  <autoFilter ref="A1:L14" xr:uid="{1401FC9D-E49F-4455-9A15-EF2826AF863C}"/>
  <sortState xmlns:xlrd2="http://schemas.microsoft.com/office/spreadsheetml/2017/richdata2" ref="A2:L14">
    <sortCondition descending="1" ref="K1:K14"/>
  </sortState>
  <tableColumns count="12">
    <tableColumn id="1" xr3:uid="{5F788C1B-F52B-414F-97C7-B9C3815FE193}" name="Article Name"/>
    <tableColumn id="2" xr3:uid="{5CCCFF24-0BD3-4A70-9927-2D5039039F02}" name="Amount Sold" totalsRowFunction="sum"/>
    <tableColumn id="3" xr3:uid="{19577409-4B14-468E-803D-8E40AB6DE462}" name="Amount Bought" totalsRowFunction="sum" dataDxfId="75" totalsRowDxfId="10"/>
    <tableColumn id="4" xr3:uid="{21F01576-557C-4BF4-A1ED-F394044BDE0A}" name="Selling Price" dataDxfId="74" totalsRowDxfId="9"/>
    <tableColumn id="5" xr3:uid="{E4FF07A9-E67C-421E-A448-783EB6FB150E}" name="Amount Expired" totalsRowFunction="sum" dataDxfId="73" totalsRowDxfId="8">
      <calculatedColumnFormula>Tabelle5[[#This Row],[Amount Bought]]-Tabelle5[[#This Row],[Amount Sold]]</calculatedColumnFormula>
    </tableColumn>
    <tableColumn id="6" xr3:uid="{0B2AEC53-904D-468C-AE49-F6F1EE9BF17F}" name="Supplier Price" dataDxfId="72" totalsRowDxfId="7"/>
    <tableColumn id="7" xr3:uid="{1B2540FE-0F94-4698-9942-41C904C4105D}" name="Profit Margin" dataDxfId="71" totalsRowDxfId="6">
      <calculatedColumnFormula>Tabelle5[[#This Row],[Selling Price]]-Tabelle5[[#This Row],[Supplier Price]]</calculatedColumnFormula>
    </tableColumn>
    <tableColumn id="8" xr3:uid="{D395AEF7-B020-4D28-8CE9-52795747C340}" name="%Profit Margin" dataDxfId="70" totalsRowDxfId="5">
      <calculatedColumnFormula>Tabelle5[[#This Row],[Profit Margin]]/Tabelle5[[#This Row],[Selling Price]]</calculatedColumnFormula>
    </tableColumn>
    <tableColumn id="9" xr3:uid="{C7849BF3-A52A-4D13-974E-9101103DC535}" name="Revenue" totalsRowFunction="custom" dataDxfId="69" totalsRowDxfId="4">
      <calculatedColumnFormula>Tabelle5[[#This Row],[Amount Sold]]*Tabelle5[[#This Row],[Selling Price]]</calculatedColumnFormula>
      <totalsRowFormula>SUM(Tabelle5[Revenue])</totalsRowFormula>
    </tableColumn>
    <tableColumn id="10" xr3:uid="{EBF3C3B4-9B5B-4721-95C9-FC00E4A4AE9A}" name="Expenses" totalsRowFunction="custom" dataDxfId="68" totalsRowDxfId="3">
      <calculatedColumnFormula>Tabelle5[[#This Row],[Amount Bought]]*Tabelle5[[#This Row],[Supplier Price]]</calculatedColumnFormula>
      <totalsRowFormula>SUM(Tabelle5[Expenses])</totalsRowFormula>
    </tableColumn>
    <tableColumn id="11" xr3:uid="{EA25E7A8-A4E9-4059-9C78-AFD2C1CD37B1}" name="Profit" totalsRowFunction="custom" dataDxfId="0" totalsRowDxfId="2">
      <calculatedColumnFormula>Tabelle5[[#This Row],[Revenue]]-Tabelle5[[#This Row],[Expenses]] + Tabelle5[[#This Row],[Biofuel Revenue]]</calculatedColumnFormula>
      <totalsRowFormula>SUM(Tabelle5[Profit])</totalsRowFormula>
    </tableColumn>
    <tableColumn id="12" xr3:uid="{339D7310-DF6C-47C4-ACF7-9B74B2EAE81B}" name="Biofuel Revenue" dataDxfId="11" totalsRowDxfId="1">
      <calculatedColumnFormula>Tabelle5[[#This Row],[Amount Expired]]*Tabelle5[[#This Row],[Supplier Price]]*0.25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306D-9760-4017-A9C8-493B9E6383C6}">
  <dimension ref="A1:B32"/>
  <sheetViews>
    <sheetView topLeftCell="A16" workbookViewId="0">
      <selection activeCell="B32" sqref="B32"/>
    </sheetView>
  </sheetViews>
  <sheetFormatPr baseColWidth="10" defaultRowHeight="14.4" x14ac:dyDescent="0.3"/>
  <cols>
    <col min="1" max="1" width="38.33203125" bestFit="1" customWidth="1"/>
    <col min="2" max="2" width="20.88671875" bestFit="1" customWidth="1"/>
  </cols>
  <sheetData>
    <row r="1" spans="1:2" x14ac:dyDescent="0.3">
      <c r="A1" t="s">
        <v>66</v>
      </c>
      <c r="B1" t="s">
        <v>67</v>
      </c>
    </row>
    <row r="2" spans="1:2" x14ac:dyDescent="0.3">
      <c r="A2" s="1" t="s">
        <v>36</v>
      </c>
      <c r="B2" s="2">
        <v>8067.9771079361799</v>
      </c>
    </row>
    <row r="3" spans="1:2" x14ac:dyDescent="0.3">
      <c r="A3" s="1" t="s">
        <v>37</v>
      </c>
      <c r="B3" s="2">
        <v>7194.5580840631101</v>
      </c>
    </row>
    <row r="4" spans="1:2" x14ac:dyDescent="0.3">
      <c r="A4" s="1" t="s">
        <v>38</v>
      </c>
      <c r="B4" s="2">
        <v>6595.16493036875</v>
      </c>
    </row>
    <row r="5" spans="1:2" x14ac:dyDescent="0.3">
      <c r="A5" s="1" t="s">
        <v>39</v>
      </c>
      <c r="B5" s="2">
        <v>6513.5026598056402</v>
      </c>
    </row>
    <row r="6" spans="1:2" x14ac:dyDescent="0.3">
      <c r="A6" s="1" t="s">
        <v>40</v>
      </c>
      <c r="B6" s="2">
        <v>5729.3724130132696</v>
      </c>
    </row>
    <row r="7" spans="1:2" x14ac:dyDescent="0.3">
      <c r="A7" s="1" t="s">
        <v>41</v>
      </c>
      <c r="B7" s="2">
        <v>8029.4487622045099</v>
      </c>
    </row>
    <row r="8" spans="1:2" x14ac:dyDescent="0.3">
      <c r="A8" s="1" t="s">
        <v>42</v>
      </c>
      <c r="B8" s="2">
        <v>6595.7750383110997</v>
      </c>
    </row>
    <row r="9" spans="1:2" x14ac:dyDescent="0.3">
      <c r="A9" s="1" t="s">
        <v>43</v>
      </c>
      <c r="B9" s="2">
        <v>6247.4762045177304</v>
      </c>
    </row>
    <row r="10" spans="1:2" x14ac:dyDescent="0.3">
      <c r="A10" s="1" t="s">
        <v>44</v>
      </c>
      <c r="B10" s="2">
        <v>5703.3821470194898</v>
      </c>
    </row>
    <row r="11" spans="1:2" x14ac:dyDescent="0.3">
      <c r="A11" s="1" t="s">
        <v>45</v>
      </c>
      <c r="B11" s="2">
        <v>6962.2036994893697</v>
      </c>
    </row>
    <row r="12" spans="1:2" x14ac:dyDescent="0.3">
      <c r="A12" s="1" t="s">
        <v>46</v>
      </c>
      <c r="B12" s="2">
        <v>6250.2811309139697</v>
      </c>
    </row>
    <row r="13" spans="1:2" x14ac:dyDescent="0.3">
      <c r="A13" s="1" t="s">
        <v>47</v>
      </c>
      <c r="B13" s="2">
        <v>7978.8689944442503</v>
      </c>
    </row>
    <row r="14" spans="1:2" x14ac:dyDescent="0.3">
      <c r="A14" s="1" t="s">
        <v>48</v>
      </c>
      <c r="B14" s="2">
        <v>6113.4143578714402</v>
      </c>
    </row>
    <row r="15" spans="1:2" x14ac:dyDescent="0.3">
      <c r="A15" s="1" t="s">
        <v>49</v>
      </c>
      <c r="B15" s="2">
        <v>5544.7718635705296</v>
      </c>
    </row>
    <row r="16" spans="1:2" x14ac:dyDescent="0.3">
      <c r="A16" s="1" t="s">
        <v>50</v>
      </c>
      <c r="B16" s="2">
        <v>7678.8528305708696</v>
      </c>
    </row>
    <row r="17" spans="1:2" x14ac:dyDescent="0.3">
      <c r="A17" s="1" t="s">
        <v>51</v>
      </c>
      <c r="B17" s="2">
        <v>6524.79529336829</v>
      </c>
    </row>
    <row r="18" spans="1:2" x14ac:dyDescent="0.3">
      <c r="A18" s="1" t="s">
        <v>52</v>
      </c>
      <c r="B18" s="2">
        <v>7610.5881436408499</v>
      </c>
    </row>
    <row r="19" spans="1:2" x14ac:dyDescent="0.3">
      <c r="A19" s="1" t="s">
        <v>53</v>
      </c>
      <c r="B19" s="2">
        <v>6810.8537166451797</v>
      </c>
    </row>
    <row r="20" spans="1:2" x14ac:dyDescent="0.3">
      <c r="A20" s="1" t="s">
        <v>54</v>
      </c>
      <c r="B20" s="2">
        <v>6048.7548617626999</v>
      </c>
    </row>
    <row r="21" spans="1:2" x14ac:dyDescent="0.3">
      <c r="A21" s="1" t="s">
        <v>55</v>
      </c>
      <c r="B21" s="2">
        <v>7086.91526585056</v>
      </c>
    </row>
    <row r="22" spans="1:2" x14ac:dyDescent="0.3">
      <c r="A22" s="1" t="s">
        <v>56</v>
      </c>
      <c r="B22" s="2">
        <v>5856.7021462220901</v>
      </c>
    </row>
    <row r="23" spans="1:2" x14ac:dyDescent="0.3">
      <c r="A23" s="1" t="s">
        <v>57</v>
      </c>
      <c r="B23" s="2">
        <v>7363.8099971682404</v>
      </c>
    </row>
    <row r="24" spans="1:2" x14ac:dyDescent="0.3">
      <c r="A24" s="1" t="s">
        <v>58</v>
      </c>
      <c r="B24" s="2">
        <v>5903.1291394678301</v>
      </c>
    </row>
    <row r="25" spans="1:2" x14ac:dyDescent="0.3">
      <c r="A25" s="1" t="s">
        <v>59</v>
      </c>
      <c r="B25" s="2">
        <v>7523.5381590273801</v>
      </c>
    </row>
    <row r="26" spans="1:2" x14ac:dyDescent="0.3">
      <c r="A26" s="1" t="s">
        <v>60</v>
      </c>
      <c r="B26" s="2">
        <v>6284.1457187351098</v>
      </c>
    </row>
    <row r="27" spans="1:2" x14ac:dyDescent="0.3">
      <c r="A27" s="1" t="s">
        <v>61</v>
      </c>
      <c r="B27" s="2">
        <v>6821.8769588144996</v>
      </c>
    </row>
    <row r="28" spans="1:2" x14ac:dyDescent="0.3">
      <c r="A28" s="1" t="s">
        <v>62</v>
      </c>
      <c r="B28" s="2">
        <v>7362.7215059477103</v>
      </c>
    </row>
    <row r="29" spans="1:2" x14ac:dyDescent="0.3">
      <c r="A29" s="1" t="s">
        <v>63</v>
      </c>
      <c r="B29" s="2">
        <v>5634.3432853736404</v>
      </c>
    </row>
    <row r="30" spans="1:2" x14ac:dyDescent="0.3">
      <c r="A30" s="1" t="s">
        <v>64</v>
      </c>
      <c r="B30" s="2">
        <v>6913.6690819228597</v>
      </c>
    </row>
    <row r="31" spans="1:2" x14ac:dyDescent="0.3">
      <c r="A31" s="1" t="s">
        <v>65</v>
      </c>
      <c r="B31" s="2">
        <v>6346.7643709670601</v>
      </c>
    </row>
    <row r="32" spans="1:2" x14ac:dyDescent="0.3">
      <c r="B32" s="3">
        <f>SUM(B2:B31)</f>
        <v>201297.65786901422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4C16F-549E-41FB-83F3-D662CBC324E2}">
  <dimension ref="A1:M15"/>
  <sheetViews>
    <sheetView workbookViewId="0">
      <selection activeCell="O9" sqref="O9"/>
    </sheetView>
  </sheetViews>
  <sheetFormatPr baseColWidth="10" defaultRowHeight="14.4" x14ac:dyDescent="0.3"/>
  <cols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7" max="7" width="15" bestFit="1" customWidth="1"/>
    <col min="8" max="8" width="13.6640625" bestFit="1" customWidth="1"/>
    <col min="9" max="9" width="15.21875" bestFit="1" customWidth="1"/>
    <col min="10" max="12" width="15.44140625" bestFit="1" customWidth="1"/>
    <col min="13" max="13" width="15.33203125" bestFit="1" customWidth="1"/>
  </cols>
  <sheetData>
    <row r="1" spans="1:13" x14ac:dyDescent="0.3">
      <c r="A1" s="16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14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  <c r="M1" s="16" t="s">
        <v>71</v>
      </c>
    </row>
    <row r="2" spans="1:13" x14ac:dyDescent="0.3">
      <c r="A2" s="11">
        <v>0</v>
      </c>
      <c r="B2" s="10" t="s">
        <v>9</v>
      </c>
      <c r="C2" s="11">
        <v>3066</v>
      </c>
      <c r="D2" s="11">
        <v>3066</v>
      </c>
      <c r="E2" s="12">
        <v>16.420000000000002</v>
      </c>
      <c r="F2" s="6">
        <f>Tabelle7[[#This Row],[Amount Bought]]-Tabelle7[[#This Row],[Amount Sold]]</f>
        <v>0</v>
      </c>
      <c r="G2" s="12">
        <v>12</v>
      </c>
      <c r="H2" s="13">
        <f t="shared" ref="H2:H14" si="0">E2-G2</f>
        <v>4.4200000000000017</v>
      </c>
      <c r="I2" s="14">
        <f t="shared" ref="I2:I14" si="1">H2/E2</f>
        <v>0.26918392204628511</v>
      </c>
      <c r="J2" s="15">
        <f>Tabelle7[[#This Row],[Amount Sold]]*Tabelle7[[#This Row],[Selling Price]]</f>
        <v>50343.720000000008</v>
      </c>
      <c r="K2" s="15">
        <f>Tabelle7[[#This Row],[Amount Bought]]*Tabelle7[[#This Row],[Supplier Price]]</f>
        <v>36792</v>
      </c>
      <c r="L2" s="15">
        <f>Tabelle7[[#This Row],[Revenue]]-Tabelle7[[#This Row],[Expenses]]+Tabelle7[[#This Row],[Biofuel Revnue]]</f>
        <v>13551.720000000008</v>
      </c>
      <c r="M2" s="39">
        <f t="shared" ref="M2:M15" si="2">F2*G2*0.25</f>
        <v>0</v>
      </c>
    </row>
    <row r="3" spans="1:13" x14ac:dyDescent="0.3">
      <c r="A3" s="11">
        <v>0</v>
      </c>
      <c r="B3" s="10" t="s">
        <v>6</v>
      </c>
      <c r="C3" s="11">
        <v>750</v>
      </c>
      <c r="D3" s="11">
        <v>1948</v>
      </c>
      <c r="E3" s="12">
        <v>85.75</v>
      </c>
      <c r="F3" s="6">
        <f>Tabelle7[[#This Row],[Amount Bought]]-Tabelle7[[#This Row],[Amount Sold]]</f>
        <v>1198</v>
      </c>
      <c r="G3" s="12">
        <v>65</v>
      </c>
      <c r="H3" s="13">
        <f t="shared" si="0"/>
        <v>20.75</v>
      </c>
      <c r="I3" s="14">
        <f t="shared" si="1"/>
        <v>0.24198250728862974</v>
      </c>
      <c r="J3" s="15">
        <f>Tabelle7[[#This Row],[Amount Sold]]*Tabelle7[[#This Row],[Selling Price]]</f>
        <v>64312.5</v>
      </c>
      <c r="K3" s="15">
        <f>Tabelle7[[#This Row],[Amount Bought]]*Tabelle7[[#This Row],[Supplier Price]]</f>
        <v>126620</v>
      </c>
      <c r="L3" s="15">
        <f>Tabelle7[[#This Row],[Revenue]]-Tabelle7[[#This Row],[Expenses]]+Tabelle7[[#This Row],[Biofuel Revnue]]</f>
        <v>-42840</v>
      </c>
      <c r="M3" s="39">
        <f t="shared" si="2"/>
        <v>19467.5</v>
      </c>
    </row>
    <row r="4" spans="1:13" x14ac:dyDescent="0.3">
      <c r="A4" s="11">
        <v>0</v>
      </c>
      <c r="B4" s="6" t="s">
        <v>8</v>
      </c>
      <c r="C4" s="11">
        <v>69</v>
      </c>
      <c r="D4" s="11">
        <v>69</v>
      </c>
      <c r="E4" s="12">
        <v>770.78</v>
      </c>
      <c r="F4" s="6">
        <f>Tabelle7[[#This Row],[Amount Bought]]-Tabelle7[[#This Row],[Amount Sold]]</f>
        <v>0</v>
      </c>
      <c r="G4" s="12">
        <v>580</v>
      </c>
      <c r="H4" s="13">
        <f t="shared" si="0"/>
        <v>190.77999999999997</v>
      </c>
      <c r="I4" s="14">
        <f t="shared" si="1"/>
        <v>0.24751550377539633</v>
      </c>
      <c r="J4" s="15">
        <f>Tabelle7[[#This Row],[Amount Sold]]*Tabelle7[[#This Row],[Selling Price]]</f>
        <v>53183.82</v>
      </c>
      <c r="K4" s="15">
        <f>Tabelle7[[#This Row],[Amount Bought]]*Tabelle7[[#This Row],[Supplier Price]]</f>
        <v>40020</v>
      </c>
      <c r="L4" s="15">
        <f>Tabelle7[[#This Row],[Revenue]]-Tabelle7[[#This Row],[Expenses]]+Tabelle7[[#This Row],[Biofuel Revnue]]</f>
        <v>13163.82</v>
      </c>
      <c r="M4" s="39">
        <f t="shared" si="2"/>
        <v>0</v>
      </c>
    </row>
    <row r="5" spans="1:13" x14ac:dyDescent="0.3">
      <c r="A5" s="11">
        <v>0</v>
      </c>
      <c r="B5" s="10" t="s">
        <v>11</v>
      </c>
      <c r="C5" s="11">
        <v>2144</v>
      </c>
      <c r="D5" s="11">
        <v>2144</v>
      </c>
      <c r="E5" s="12">
        <v>62.69</v>
      </c>
      <c r="F5" s="6">
        <f>Tabelle7[[#This Row],[Amount Bought]]-Tabelle7[[#This Row],[Amount Sold]]</f>
        <v>0</v>
      </c>
      <c r="G5" s="12">
        <v>45</v>
      </c>
      <c r="H5" s="13">
        <f t="shared" si="0"/>
        <v>17.689999999999998</v>
      </c>
      <c r="I5" s="14">
        <f t="shared" si="1"/>
        <v>0.28218216621470726</v>
      </c>
      <c r="J5" s="15">
        <f>Tabelle7[[#This Row],[Amount Sold]]*Tabelle7[[#This Row],[Selling Price]]</f>
        <v>134407.35999999999</v>
      </c>
      <c r="K5" s="15">
        <f>Tabelle7[[#This Row],[Amount Bought]]*Tabelle7[[#This Row],[Supplier Price]]</f>
        <v>96480</v>
      </c>
      <c r="L5" s="15">
        <f>Tabelle7[[#This Row],[Revenue]]-Tabelle7[[#This Row],[Expenses]]+Tabelle7[[#This Row],[Biofuel Revnue]]</f>
        <v>37927.359999999986</v>
      </c>
      <c r="M5" s="39">
        <f t="shared" si="2"/>
        <v>0</v>
      </c>
    </row>
    <row r="6" spans="1:13" x14ac:dyDescent="0.3">
      <c r="A6" s="11">
        <v>0</v>
      </c>
      <c r="B6" s="10" t="s">
        <v>4</v>
      </c>
      <c r="C6" s="11">
        <v>1599</v>
      </c>
      <c r="D6" s="11">
        <v>1599</v>
      </c>
      <c r="E6" s="12">
        <v>26.11</v>
      </c>
      <c r="F6" s="6">
        <f>Tabelle7[[#This Row],[Amount Bought]]-Tabelle7[[#This Row],[Amount Sold]]</f>
        <v>0</v>
      </c>
      <c r="G6" s="12">
        <v>18</v>
      </c>
      <c r="H6" s="13">
        <f t="shared" si="0"/>
        <v>8.11</v>
      </c>
      <c r="I6" s="14">
        <f t="shared" si="1"/>
        <v>0.31060896208349292</v>
      </c>
      <c r="J6" s="15">
        <f>Tabelle7[[#This Row],[Amount Sold]]*Tabelle7[[#This Row],[Selling Price]]</f>
        <v>41749.89</v>
      </c>
      <c r="K6" s="15">
        <f>Tabelle7[[#This Row],[Amount Bought]]*Tabelle7[[#This Row],[Supplier Price]]</f>
        <v>28782</v>
      </c>
      <c r="L6" s="15">
        <f>Tabelle7[[#This Row],[Revenue]]-Tabelle7[[#This Row],[Expenses]]+Tabelle7[[#This Row],[Biofuel Revnue]]</f>
        <v>12967.89</v>
      </c>
      <c r="M6" s="39">
        <f t="shared" si="2"/>
        <v>0</v>
      </c>
    </row>
    <row r="7" spans="1:13" x14ac:dyDescent="0.3">
      <c r="A7" s="11">
        <v>0</v>
      </c>
      <c r="B7" s="10" t="s">
        <v>3</v>
      </c>
      <c r="C7" s="11">
        <v>1701</v>
      </c>
      <c r="D7" s="11">
        <v>1701</v>
      </c>
      <c r="E7" s="12">
        <v>11.12</v>
      </c>
      <c r="F7" s="6">
        <f>Tabelle7[[#This Row],[Amount Bought]]-Tabelle7[[#This Row],[Amount Sold]]</f>
        <v>0</v>
      </c>
      <c r="G7" s="12">
        <v>8</v>
      </c>
      <c r="H7" s="13">
        <f t="shared" si="0"/>
        <v>3.1199999999999992</v>
      </c>
      <c r="I7" s="14">
        <f t="shared" si="1"/>
        <v>0.2805755395683453</v>
      </c>
      <c r="J7" s="15">
        <f>Tabelle7[[#This Row],[Amount Sold]]*Tabelle7[[#This Row],[Selling Price]]</f>
        <v>18915.12</v>
      </c>
      <c r="K7" s="15">
        <f>Tabelle7[[#This Row],[Amount Bought]]*Tabelle7[[#This Row],[Supplier Price]]</f>
        <v>13608</v>
      </c>
      <c r="L7" s="15">
        <f>Tabelle7[[#This Row],[Revenue]]-Tabelle7[[#This Row],[Expenses]]+Tabelle7[[#This Row],[Biofuel Revnue]]</f>
        <v>5307.119999999999</v>
      </c>
      <c r="M7" s="39">
        <f t="shared" si="2"/>
        <v>0</v>
      </c>
    </row>
    <row r="8" spans="1:13" x14ac:dyDescent="0.3">
      <c r="A8" s="11">
        <v>0</v>
      </c>
      <c r="B8" s="10" t="s">
        <v>12</v>
      </c>
      <c r="C8" s="11">
        <v>2305</v>
      </c>
      <c r="D8" s="11">
        <v>2305</v>
      </c>
      <c r="E8" s="12">
        <v>52.72</v>
      </c>
      <c r="F8" s="6">
        <f>Tabelle7[[#This Row],[Amount Bought]]-Tabelle7[[#This Row],[Amount Sold]]</f>
        <v>0</v>
      </c>
      <c r="G8" s="12">
        <v>38</v>
      </c>
      <c r="H8" s="13">
        <f t="shared" si="0"/>
        <v>14.719999999999999</v>
      </c>
      <c r="I8" s="14">
        <f t="shared" si="1"/>
        <v>0.27921092564491651</v>
      </c>
      <c r="J8" s="15">
        <f>Tabelle7[[#This Row],[Amount Sold]]*Tabelle7[[#This Row],[Selling Price]]</f>
        <v>121519.59999999999</v>
      </c>
      <c r="K8" s="15">
        <f>Tabelle7[[#This Row],[Amount Bought]]*Tabelle7[[#This Row],[Supplier Price]]</f>
        <v>87590</v>
      </c>
      <c r="L8" s="15">
        <f>Tabelle7[[#This Row],[Revenue]]-Tabelle7[[#This Row],[Expenses]]+Tabelle7[[#This Row],[Biofuel Revnue]]</f>
        <v>33929.599999999991</v>
      </c>
      <c r="M8" s="39">
        <f t="shared" si="2"/>
        <v>0</v>
      </c>
    </row>
    <row r="9" spans="1:13" x14ac:dyDescent="0.3">
      <c r="A9" s="11">
        <v>0</v>
      </c>
      <c r="B9" s="10" t="s">
        <v>7</v>
      </c>
      <c r="C9" s="11">
        <v>3337</v>
      </c>
      <c r="D9" s="11">
        <v>3337</v>
      </c>
      <c r="E9" s="12">
        <v>296.26</v>
      </c>
      <c r="F9" s="6">
        <f>Tabelle7[[#This Row],[Amount Bought]]-Tabelle7[[#This Row],[Amount Sold]]</f>
        <v>0</v>
      </c>
      <c r="G9" s="12">
        <v>220</v>
      </c>
      <c r="H9" s="13">
        <f t="shared" si="0"/>
        <v>76.259999999999991</v>
      </c>
      <c r="I9" s="14">
        <f t="shared" si="1"/>
        <v>0.25740903260649428</v>
      </c>
      <c r="J9" s="15">
        <f>Tabelle7[[#This Row],[Amount Sold]]*Tabelle7[[#This Row],[Selling Price]]</f>
        <v>988619.62</v>
      </c>
      <c r="K9" s="15">
        <f>Tabelle7[[#This Row],[Amount Bought]]*Tabelle7[[#This Row],[Supplier Price]]</f>
        <v>734140</v>
      </c>
      <c r="L9" s="15">
        <f>Tabelle7[[#This Row],[Revenue]]-Tabelle7[[#This Row],[Expenses]]+Tabelle7[[#This Row],[Biofuel Revnue]]</f>
        <v>254479.62</v>
      </c>
      <c r="M9" s="39">
        <f t="shared" si="2"/>
        <v>0</v>
      </c>
    </row>
    <row r="10" spans="1:13" x14ac:dyDescent="0.3">
      <c r="A10" s="11">
        <v>0</v>
      </c>
      <c r="B10" s="10" t="s">
        <v>27</v>
      </c>
      <c r="C10" s="11">
        <v>332</v>
      </c>
      <c r="D10" s="11">
        <v>3235</v>
      </c>
      <c r="E10" s="12">
        <v>391.47</v>
      </c>
      <c r="F10" s="6">
        <f>Tabelle7[[#This Row],[Amount Bought]]-Tabelle7[[#This Row],[Amount Sold]]</f>
        <v>2903</v>
      </c>
      <c r="G10" s="12">
        <v>280</v>
      </c>
      <c r="H10" s="13">
        <f t="shared" si="0"/>
        <v>111.47000000000003</v>
      </c>
      <c r="I10" s="14">
        <f t="shared" si="1"/>
        <v>0.28474723478172026</v>
      </c>
      <c r="J10" s="15">
        <f>Tabelle7[[#This Row],[Amount Sold]]*Tabelle7[[#This Row],[Selling Price]]</f>
        <v>129968.04000000001</v>
      </c>
      <c r="K10" s="15">
        <f>Tabelle7[[#This Row],[Amount Bought]]*Tabelle7[[#This Row],[Supplier Price]]</f>
        <v>905800</v>
      </c>
      <c r="L10" s="15">
        <f>Tabelle7[[#This Row],[Revenue]]-Tabelle7[[#This Row],[Expenses]]+Tabelle7[[#This Row],[Biofuel Revnue]]</f>
        <v>-572621.96</v>
      </c>
      <c r="M10" s="39">
        <f t="shared" si="2"/>
        <v>203210</v>
      </c>
    </row>
    <row r="11" spans="1:13" x14ac:dyDescent="0.3">
      <c r="A11" s="11">
        <v>0</v>
      </c>
      <c r="B11" s="10" t="s">
        <v>10</v>
      </c>
      <c r="C11" s="11">
        <v>3259</v>
      </c>
      <c r="D11" s="11">
        <v>3259</v>
      </c>
      <c r="E11" s="12">
        <v>21.9</v>
      </c>
      <c r="F11" s="6">
        <f>Tabelle7[[#This Row],[Amount Bought]]-Tabelle7[[#This Row],[Amount Sold]]</f>
        <v>0</v>
      </c>
      <c r="G11" s="12">
        <v>16</v>
      </c>
      <c r="H11" s="13">
        <f t="shared" si="0"/>
        <v>5.8999999999999986</v>
      </c>
      <c r="I11" s="14">
        <f t="shared" si="1"/>
        <v>0.26940639269406386</v>
      </c>
      <c r="J11" s="15">
        <f>Tabelle7[[#This Row],[Amount Sold]]*Tabelle7[[#This Row],[Selling Price]]</f>
        <v>71372.099999999991</v>
      </c>
      <c r="K11" s="15">
        <f>Tabelle7[[#This Row],[Amount Bought]]*Tabelle7[[#This Row],[Supplier Price]]</f>
        <v>52144</v>
      </c>
      <c r="L11" s="15">
        <f>Tabelle7[[#This Row],[Revenue]]-Tabelle7[[#This Row],[Expenses]]+Tabelle7[[#This Row],[Biofuel Revnue]]</f>
        <v>19228.099999999991</v>
      </c>
      <c r="M11" s="39">
        <f t="shared" si="2"/>
        <v>0</v>
      </c>
    </row>
    <row r="12" spans="1:13" x14ac:dyDescent="0.3">
      <c r="A12" s="11">
        <v>0</v>
      </c>
      <c r="B12" s="10" t="s">
        <v>2</v>
      </c>
      <c r="C12" s="11">
        <v>2448</v>
      </c>
      <c r="D12" s="11">
        <v>2448</v>
      </c>
      <c r="E12" s="12">
        <v>8.25</v>
      </c>
      <c r="F12" s="6">
        <f>Tabelle7[[#This Row],[Amount Bought]]-Tabelle7[[#This Row],[Amount Sold]]</f>
        <v>0</v>
      </c>
      <c r="G12" s="12">
        <v>6</v>
      </c>
      <c r="H12" s="13">
        <f t="shared" si="0"/>
        <v>2.25</v>
      </c>
      <c r="I12" s="14">
        <f t="shared" si="1"/>
        <v>0.27272727272727271</v>
      </c>
      <c r="J12" s="15">
        <f>Tabelle7[[#This Row],[Amount Sold]]*Tabelle7[[#This Row],[Selling Price]]</f>
        <v>20196</v>
      </c>
      <c r="K12" s="15">
        <f>Tabelle7[[#This Row],[Amount Bought]]*Tabelle7[[#This Row],[Supplier Price]]</f>
        <v>14688</v>
      </c>
      <c r="L12" s="15">
        <f>Tabelle7[[#This Row],[Revenue]]-Tabelle7[[#This Row],[Expenses]]+Tabelle7[[#This Row],[Biofuel Revnue]]</f>
        <v>5508</v>
      </c>
      <c r="M12" s="39">
        <f t="shared" si="2"/>
        <v>0</v>
      </c>
    </row>
    <row r="13" spans="1:13" x14ac:dyDescent="0.3">
      <c r="A13" s="11">
        <v>0</v>
      </c>
      <c r="B13" s="10" t="s">
        <v>1</v>
      </c>
      <c r="C13" s="11">
        <v>1702</v>
      </c>
      <c r="D13" s="11">
        <v>1702</v>
      </c>
      <c r="E13" s="12">
        <v>21.54</v>
      </c>
      <c r="F13" s="6">
        <f>Tabelle7[[#This Row],[Amount Bought]]-Tabelle7[[#This Row],[Amount Sold]]</f>
        <v>0</v>
      </c>
      <c r="G13" s="12">
        <v>15</v>
      </c>
      <c r="H13" s="13">
        <f t="shared" si="0"/>
        <v>6.5399999999999991</v>
      </c>
      <c r="I13" s="14">
        <f t="shared" si="1"/>
        <v>0.30362116991643451</v>
      </c>
      <c r="J13" s="15">
        <f>Tabelle7[[#This Row],[Amount Sold]]*Tabelle7[[#This Row],[Selling Price]]</f>
        <v>36661.08</v>
      </c>
      <c r="K13" s="15">
        <f>Tabelle7[[#This Row],[Amount Bought]]*Tabelle7[[#This Row],[Supplier Price]]</f>
        <v>25530</v>
      </c>
      <c r="L13" s="15">
        <f>Tabelle7[[#This Row],[Revenue]]-Tabelle7[[#This Row],[Expenses]]+Tabelle7[[#This Row],[Biofuel Revnue]]</f>
        <v>11131.080000000002</v>
      </c>
      <c r="M13" s="39">
        <f t="shared" si="2"/>
        <v>0</v>
      </c>
    </row>
    <row r="14" spans="1:13" ht="15" thickBot="1" x14ac:dyDescent="0.35">
      <c r="A14" s="11">
        <v>0</v>
      </c>
      <c r="B14" s="10" t="s">
        <v>5</v>
      </c>
      <c r="C14" s="11">
        <v>1947</v>
      </c>
      <c r="D14" s="11">
        <v>1947</v>
      </c>
      <c r="E14" s="12">
        <v>50.72</v>
      </c>
      <c r="F14" s="6">
        <f>Tabelle7[[#This Row],[Amount Bought]]-Tabelle7[[#This Row],[Amount Sold]]</f>
        <v>0</v>
      </c>
      <c r="G14" s="12">
        <v>35</v>
      </c>
      <c r="H14" s="13">
        <f t="shared" si="0"/>
        <v>15.719999999999999</v>
      </c>
      <c r="I14" s="14">
        <f t="shared" si="1"/>
        <v>0.30993690851735012</v>
      </c>
      <c r="J14" s="15">
        <f>Tabelle7[[#This Row],[Amount Sold]]*Tabelle7[[#This Row],[Selling Price]]</f>
        <v>98751.84</v>
      </c>
      <c r="K14" s="15">
        <f>Tabelle7[[#This Row],[Amount Bought]]*Tabelle7[[#This Row],[Supplier Price]]</f>
        <v>68145</v>
      </c>
      <c r="L14" s="15">
        <f>Tabelle7[[#This Row],[Revenue]]-Tabelle7[[#This Row],[Expenses]]+Tabelle7[[#This Row],[Biofuel Revnue]]</f>
        <v>30606.839999999997</v>
      </c>
      <c r="M14" s="39">
        <f t="shared" si="2"/>
        <v>0</v>
      </c>
    </row>
    <row r="15" spans="1:13" ht="15" thickTop="1" x14ac:dyDescent="0.3">
      <c r="A15" s="17" t="s">
        <v>18</v>
      </c>
      <c r="B15" s="18"/>
      <c r="C15" s="19"/>
      <c r="D15" s="17"/>
      <c r="E15" s="20"/>
      <c r="F15" s="19"/>
      <c r="G15" s="17"/>
      <c r="H15" s="21"/>
      <c r="I15" s="22"/>
      <c r="J15" s="23"/>
      <c r="K15" s="23"/>
      <c r="L15" s="23">
        <f>SUM(L2:L14)</f>
        <v>-177660.80999999997</v>
      </c>
      <c r="M15" s="39">
        <f t="shared" si="2"/>
        <v>0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9403-B23F-4A18-86E6-6F5B21B93D0E}">
  <dimension ref="A1:M15"/>
  <sheetViews>
    <sheetView workbookViewId="0">
      <selection activeCell="M2" sqref="M2"/>
    </sheetView>
  </sheetViews>
  <sheetFormatPr baseColWidth="10" defaultRowHeight="14.4" x14ac:dyDescent="0.3"/>
  <cols>
    <col min="2" max="2" width="13.77734375" customWidth="1"/>
    <col min="3" max="3" width="15.33203125" customWidth="1"/>
    <col min="4" max="4" width="13.44140625" customWidth="1"/>
    <col min="5" max="5" width="13.21875" customWidth="1"/>
    <col min="6" max="6" width="14.6640625" customWidth="1"/>
    <col min="7" max="7" width="15" bestFit="1" customWidth="1"/>
    <col min="10" max="11" width="17.21875" bestFit="1" customWidth="1"/>
    <col min="12" max="12" width="15.44140625" bestFit="1" customWidth="1"/>
    <col min="13" max="13" width="15.88671875" bestFit="1" customWidth="1"/>
  </cols>
  <sheetData>
    <row r="1" spans="1:13" x14ac:dyDescent="0.3">
      <c r="A1" s="25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  <c r="M1" s="16" t="s">
        <v>72</v>
      </c>
    </row>
    <row r="2" spans="1:13" x14ac:dyDescent="0.3">
      <c r="A2" s="11">
        <v>1</v>
      </c>
      <c r="B2" s="11" t="s">
        <v>9</v>
      </c>
      <c r="C2" s="11">
        <v>2579</v>
      </c>
      <c r="D2" s="11">
        <v>2579</v>
      </c>
      <c r="E2" s="24">
        <v>16.829999999999998</v>
      </c>
      <c r="F2" s="11">
        <f>Tabelle9[[#This Row],[Amount Bought]]-Tabelle9[[#This Row],[Amount Sold]]</f>
        <v>0</v>
      </c>
      <c r="G2" s="12">
        <v>12</v>
      </c>
      <c r="H2" s="13">
        <f>Tabelle9[[#This Row],[Selling Price]]-Tabelle9[[#This Row],[Supplier Price]]</f>
        <v>4.8299999999999983</v>
      </c>
      <c r="I2" s="14">
        <f>Tabelle9[[#This Row],[Profit Margin]]/Tabelle9[[#This Row],[Selling Price]]</f>
        <v>0.28698752228163987</v>
      </c>
      <c r="J2" s="15">
        <f>Tabelle9[[#This Row],[Amount Sold]]*Tabelle9[[#This Row],[Selling Price]]</f>
        <v>43404.569999999992</v>
      </c>
      <c r="K2" s="15">
        <f>Tabelle9[[#This Row],[Amount Bought]]*Tabelle9[[#This Row],[Supplier Price]]</f>
        <v>30948</v>
      </c>
      <c r="L2" s="15">
        <f>Tabelle9[[#This Row],[Revenue]]-Tabelle9[[#This Row],[Expenses]] +Tabelle9[[#This Row],[Biofuel revenue]]</f>
        <v>12456.569999999992</v>
      </c>
      <c r="M2" s="39">
        <f>Tabelle9[[#This Row],[Amount Expired]]*Tabelle9[[#This Row],[Supplier Price]]*0.25</f>
        <v>0</v>
      </c>
    </row>
    <row r="3" spans="1:13" x14ac:dyDescent="0.3">
      <c r="A3" s="11">
        <v>1</v>
      </c>
      <c r="B3" s="11" t="s">
        <v>29</v>
      </c>
      <c r="C3" s="11">
        <v>0</v>
      </c>
      <c r="D3" s="11">
        <v>2199</v>
      </c>
      <c r="E3" s="24">
        <v>94.2</v>
      </c>
      <c r="F3" s="11">
        <f>Tabelle9[[#This Row],[Amount Bought]]-Tabelle9[[#This Row],[Amount Sold]]</f>
        <v>2199</v>
      </c>
      <c r="G3" s="12">
        <v>65</v>
      </c>
      <c r="H3" s="13">
        <f>Tabelle9[[#This Row],[Selling Price]]-Tabelle9[[#This Row],[Supplier Price]]</f>
        <v>29.200000000000003</v>
      </c>
      <c r="I3" s="14">
        <f>Tabelle9[[#This Row],[Profit Margin]]/Tabelle9[[#This Row],[Selling Price]]</f>
        <v>0.30997876857749473</v>
      </c>
      <c r="J3" s="15">
        <f>Tabelle9[[#This Row],[Amount Sold]]*Tabelle9[[#This Row],[Selling Price]]</f>
        <v>0</v>
      </c>
      <c r="K3" s="15">
        <f>Tabelle9[[#This Row],[Amount Bought]]*Tabelle9[[#This Row],[Supplier Price]]</f>
        <v>142935</v>
      </c>
      <c r="L3" s="15">
        <f>Tabelle9[[#This Row],[Revenue]]-Tabelle9[[#This Row],[Expenses]] +Tabelle9[[#This Row],[Biofuel revenue]]</f>
        <v>-107201.25</v>
      </c>
      <c r="M3" s="39">
        <f>Tabelle9[[#This Row],[Amount Expired]]*Tabelle9[[#This Row],[Supplier Price]]*0.25</f>
        <v>35733.75</v>
      </c>
    </row>
    <row r="4" spans="1:13" x14ac:dyDescent="0.3">
      <c r="A4" s="11">
        <v>1</v>
      </c>
      <c r="B4" s="11" t="s">
        <v>8</v>
      </c>
      <c r="C4" s="11">
        <v>69</v>
      </c>
      <c r="D4" s="11">
        <v>69</v>
      </c>
      <c r="E4" s="24">
        <v>849.1</v>
      </c>
      <c r="F4" s="11">
        <f>Tabelle9[[#This Row],[Amount Bought]]-Tabelle9[[#This Row],[Amount Sold]]</f>
        <v>0</v>
      </c>
      <c r="G4" s="12">
        <v>580</v>
      </c>
      <c r="H4" s="13">
        <f>Tabelle9[[#This Row],[Selling Price]]-Tabelle9[[#This Row],[Supplier Price]]</f>
        <v>269.10000000000002</v>
      </c>
      <c r="I4" s="14">
        <f>Tabelle9[[#This Row],[Profit Margin]]/Tabelle9[[#This Row],[Selling Price]]</f>
        <v>0.31692380167235901</v>
      </c>
      <c r="J4" s="15">
        <f>Tabelle9[[#This Row],[Amount Sold]]*Tabelle9[[#This Row],[Selling Price]]</f>
        <v>58587.9</v>
      </c>
      <c r="K4" s="15">
        <f>Tabelle9[[#This Row],[Amount Bought]]*Tabelle9[[#This Row],[Supplier Price]]</f>
        <v>40020</v>
      </c>
      <c r="L4" s="15">
        <f>Tabelle9[[#This Row],[Revenue]]-Tabelle9[[#This Row],[Expenses]] +Tabelle9[[#This Row],[Biofuel revenue]]</f>
        <v>18567.900000000001</v>
      </c>
      <c r="M4" s="39">
        <f>Tabelle9[[#This Row],[Amount Expired]]*Tabelle9[[#This Row],[Supplier Price]]*0.25</f>
        <v>0</v>
      </c>
    </row>
    <row r="5" spans="1:13" x14ac:dyDescent="0.3">
      <c r="A5" s="11">
        <v>1</v>
      </c>
      <c r="B5" s="11" t="s">
        <v>11</v>
      </c>
      <c r="C5" s="11">
        <v>3018</v>
      </c>
      <c r="D5" s="11">
        <v>3018</v>
      </c>
      <c r="E5" s="24">
        <v>65.650000000000006</v>
      </c>
      <c r="F5" s="11">
        <f>Tabelle9[[#This Row],[Amount Bought]]-Tabelle9[[#This Row],[Amount Sold]]</f>
        <v>0</v>
      </c>
      <c r="G5" s="12">
        <v>45</v>
      </c>
      <c r="H5" s="13">
        <f>Tabelle9[[#This Row],[Selling Price]]-Tabelle9[[#This Row],[Supplier Price]]</f>
        <v>20.650000000000006</v>
      </c>
      <c r="I5" s="14">
        <f>Tabelle9[[#This Row],[Profit Margin]]/Tabelle9[[#This Row],[Selling Price]]</f>
        <v>0.3145468392993146</v>
      </c>
      <c r="J5" s="15">
        <f>Tabelle9[[#This Row],[Amount Sold]]*Tabelle9[[#This Row],[Selling Price]]</f>
        <v>198131.7</v>
      </c>
      <c r="K5" s="15">
        <f>Tabelle9[[#This Row],[Amount Bought]]*Tabelle9[[#This Row],[Supplier Price]]</f>
        <v>135810</v>
      </c>
      <c r="L5" s="15">
        <f>Tabelle9[[#This Row],[Revenue]]-Tabelle9[[#This Row],[Expenses]] +Tabelle9[[#This Row],[Biofuel revenue]]</f>
        <v>62321.700000000012</v>
      </c>
      <c r="M5" s="39">
        <f>Tabelle9[[#This Row],[Amount Expired]]*Tabelle9[[#This Row],[Supplier Price]]*0.25</f>
        <v>0</v>
      </c>
    </row>
    <row r="6" spans="1:13" x14ac:dyDescent="0.3">
      <c r="A6" s="11">
        <v>1</v>
      </c>
      <c r="B6" s="11" t="s">
        <v>4</v>
      </c>
      <c r="C6" s="11">
        <v>2038</v>
      </c>
      <c r="D6" s="11">
        <v>2038</v>
      </c>
      <c r="E6" s="24">
        <v>24.43</v>
      </c>
      <c r="F6" s="11">
        <f>Tabelle9[[#This Row],[Amount Bought]]-Tabelle9[[#This Row],[Amount Sold]]</f>
        <v>0</v>
      </c>
      <c r="G6" s="12">
        <v>18</v>
      </c>
      <c r="H6" s="13">
        <f>Tabelle9[[#This Row],[Selling Price]]-Tabelle9[[#This Row],[Supplier Price]]</f>
        <v>6.43</v>
      </c>
      <c r="I6" s="14">
        <f>Tabelle9[[#This Row],[Profit Margin]]/Tabelle9[[#This Row],[Selling Price]]</f>
        <v>0.26320098239869011</v>
      </c>
      <c r="J6" s="15">
        <f>Tabelle9[[#This Row],[Amount Sold]]*Tabelle9[[#This Row],[Selling Price]]</f>
        <v>49788.34</v>
      </c>
      <c r="K6" s="15">
        <f>Tabelle9[[#This Row],[Amount Bought]]*Tabelle9[[#This Row],[Supplier Price]]</f>
        <v>36684</v>
      </c>
      <c r="L6" s="15">
        <f>Tabelle9[[#This Row],[Revenue]]-Tabelle9[[#This Row],[Expenses]] +Tabelle9[[#This Row],[Biofuel revenue]]</f>
        <v>13104.339999999997</v>
      </c>
      <c r="M6" s="39">
        <f>Tabelle9[[#This Row],[Amount Expired]]*Tabelle9[[#This Row],[Supplier Price]]*0.25</f>
        <v>0</v>
      </c>
    </row>
    <row r="7" spans="1:13" x14ac:dyDescent="0.3">
      <c r="A7" s="9">
        <v>1</v>
      </c>
      <c r="B7" s="10" t="s">
        <v>3</v>
      </c>
      <c r="C7" s="11">
        <v>2773</v>
      </c>
      <c r="D7" s="11">
        <v>2773</v>
      </c>
      <c r="E7" s="24">
        <v>10.93</v>
      </c>
      <c r="F7" s="11">
        <f>Tabelle9[[#This Row],[Amount Bought]]-Tabelle9[[#This Row],[Amount Sold]]</f>
        <v>0</v>
      </c>
      <c r="G7" s="12">
        <v>8</v>
      </c>
      <c r="H7" s="13">
        <f>Tabelle9[[#This Row],[Selling Price]]-Tabelle9[[#This Row],[Supplier Price]]</f>
        <v>2.9299999999999997</v>
      </c>
      <c r="I7" s="14">
        <f>Tabelle9[[#This Row],[Profit Margin]]/Tabelle9[[#This Row],[Selling Price]]</f>
        <v>0.26806953339432754</v>
      </c>
      <c r="J7" s="15">
        <f>Tabelle9[[#This Row],[Amount Sold]]*Tabelle9[[#This Row],[Selling Price]]</f>
        <v>30308.89</v>
      </c>
      <c r="K7" s="15">
        <f>Tabelle9[[#This Row],[Amount Bought]]*Tabelle9[[#This Row],[Supplier Price]]</f>
        <v>22184</v>
      </c>
      <c r="L7" s="15">
        <f>Tabelle9[[#This Row],[Revenue]]-Tabelle9[[#This Row],[Expenses]] +Tabelle9[[#This Row],[Biofuel revenue]]</f>
        <v>8124.8899999999994</v>
      </c>
      <c r="M7" s="39">
        <f>Tabelle9[[#This Row],[Amount Expired]]*Tabelle9[[#This Row],[Supplier Price]]*0.25</f>
        <v>0</v>
      </c>
    </row>
    <row r="8" spans="1:13" x14ac:dyDescent="0.3">
      <c r="A8" s="9">
        <v>1</v>
      </c>
      <c r="B8" s="10" t="s">
        <v>12</v>
      </c>
      <c r="C8" s="11">
        <v>3424</v>
      </c>
      <c r="D8" s="11">
        <v>3424</v>
      </c>
      <c r="E8" s="24">
        <v>49.97</v>
      </c>
      <c r="F8" s="11">
        <f>Tabelle9[[#This Row],[Amount Bought]]-Tabelle9[[#This Row],[Amount Sold]]</f>
        <v>0</v>
      </c>
      <c r="G8" s="12">
        <v>38</v>
      </c>
      <c r="H8" s="13">
        <f>Tabelle9[[#This Row],[Selling Price]]-Tabelle9[[#This Row],[Supplier Price]]</f>
        <v>11.969999999999999</v>
      </c>
      <c r="I8" s="14">
        <f>Tabelle9[[#This Row],[Profit Margin]]/Tabelle9[[#This Row],[Selling Price]]</f>
        <v>0.23954372623574144</v>
      </c>
      <c r="J8" s="15">
        <f>Tabelle9[[#This Row],[Amount Sold]]*Tabelle9[[#This Row],[Selling Price]]</f>
        <v>171097.28</v>
      </c>
      <c r="K8" s="15">
        <f>Tabelle9[[#This Row],[Amount Bought]]*Tabelle9[[#This Row],[Supplier Price]]</f>
        <v>130112</v>
      </c>
      <c r="L8" s="15">
        <f>Tabelle9[[#This Row],[Revenue]]-Tabelle9[[#This Row],[Expenses]] +Tabelle9[[#This Row],[Biofuel revenue]]</f>
        <v>40985.279999999999</v>
      </c>
      <c r="M8" s="39">
        <f>Tabelle9[[#This Row],[Amount Expired]]*Tabelle9[[#This Row],[Supplier Price]]*0.25</f>
        <v>0</v>
      </c>
    </row>
    <row r="9" spans="1:13" x14ac:dyDescent="0.3">
      <c r="A9" s="9">
        <v>1</v>
      </c>
      <c r="B9" s="10" t="s">
        <v>7</v>
      </c>
      <c r="C9" s="11">
        <v>322</v>
      </c>
      <c r="D9" s="11">
        <v>2634</v>
      </c>
      <c r="E9" s="24">
        <v>315.05</v>
      </c>
      <c r="F9" s="11">
        <f>Tabelle9[[#This Row],[Amount Bought]]-Tabelle9[[#This Row],[Amount Sold]]</f>
        <v>2312</v>
      </c>
      <c r="G9" s="12">
        <v>220</v>
      </c>
      <c r="H9" s="13">
        <f>Tabelle9[[#This Row],[Selling Price]]-Tabelle9[[#This Row],[Supplier Price]]</f>
        <v>95.050000000000011</v>
      </c>
      <c r="I9" s="14">
        <f>Tabelle9[[#This Row],[Profit Margin]]/Tabelle9[[#This Row],[Selling Price]]</f>
        <v>0.3016981431518807</v>
      </c>
      <c r="J9" s="15">
        <f>Tabelle9[[#This Row],[Amount Sold]]*Tabelle9[[#This Row],[Selling Price]]</f>
        <v>101446.1</v>
      </c>
      <c r="K9" s="15">
        <f>Tabelle9[[#This Row],[Amount Bought]]*Tabelle9[[#This Row],[Supplier Price]]</f>
        <v>579480</v>
      </c>
      <c r="L9" s="15">
        <f>Tabelle9[[#This Row],[Revenue]]-Tabelle9[[#This Row],[Expenses]] +Tabelle9[[#This Row],[Biofuel revenue]]</f>
        <v>-350873.9</v>
      </c>
      <c r="M9" s="39">
        <f>Tabelle9[[#This Row],[Amount Expired]]*Tabelle9[[#This Row],[Supplier Price]]*0.25</f>
        <v>127160</v>
      </c>
    </row>
    <row r="10" spans="1:13" x14ac:dyDescent="0.3">
      <c r="A10" s="9">
        <v>1</v>
      </c>
      <c r="B10" s="10" t="s">
        <v>27</v>
      </c>
      <c r="C10" s="11">
        <v>839</v>
      </c>
      <c r="D10" s="11">
        <v>2167</v>
      </c>
      <c r="E10" s="24">
        <v>380.88</v>
      </c>
      <c r="F10" s="11">
        <f>Tabelle9[[#This Row],[Amount Bought]]-Tabelle9[[#This Row],[Amount Sold]]</f>
        <v>1328</v>
      </c>
      <c r="G10" s="12">
        <v>280</v>
      </c>
      <c r="H10" s="13">
        <f>Tabelle9[[#This Row],[Selling Price]]-Tabelle9[[#This Row],[Supplier Price]]</f>
        <v>100.88</v>
      </c>
      <c r="I10" s="14">
        <f>Tabelle9[[#This Row],[Profit Margin]]/Tabelle9[[#This Row],[Selling Price]]</f>
        <v>0.26486032346145766</v>
      </c>
      <c r="J10" s="15">
        <f>Tabelle9[[#This Row],[Amount Sold]]*Tabelle9[[#This Row],[Selling Price]]</f>
        <v>319558.32</v>
      </c>
      <c r="K10" s="15">
        <f>Tabelle9[[#This Row],[Amount Bought]]*Tabelle9[[#This Row],[Supplier Price]]</f>
        <v>606760</v>
      </c>
      <c r="L10" s="15">
        <f>Tabelle9[[#This Row],[Revenue]]-Tabelle9[[#This Row],[Expenses]] +Tabelle9[[#This Row],[Biofuel revenue]]</f>
        <v>-194241.68</v>
      </c>
      <c r="M10" s="39">
        <f>Tabelle9[[#This Row],[Amount Expired]]*Tabelle9[[#This Row],[Supplier Price]]*0.25</f>
        <v>92960</v>
      </c>
    </row>
    <row r="11" spans="1:13" x14ac:dyDescent="0.3">
      <c r="A11" s="9">
        <v>1</v>
      </c>
      <c r="B11" s="10" t="s">
        <v>10</v>
      </c>
      <c r="C11" s="11">
        <v>1790</v>
      </c>
      <c r="D11" s="11">
        <v>1790</v>
      </c>
      <c r="E11" s="24">
        <v>21.92</v>
      </c>
      <c r="F11" s="11">
        <f>Tabelle9[[#This Row],[Amount Bought]]-Tabelle9[[#This Row],[Amount Sold]]</f>
        <v>0</v>
      </c>
      <c r="G11" s="12">
        <v>16</v>
      </c>
      <c r="H11" s="13">
        <f>Tabelle9[[#This Row],[Selling Price]]-Tabelle9[[#This Row],[Supplier Price]]</f>
        <v>5.9200000000000017</v>
      </c>
      <c r="I11" s="14">
        <f>Tabelle9[[#This Row],[Profit Margin]]/Tabelle9[[#This Row],[Selling Price]]</f>
        <v>0.27007299270072999</v>
      </c>
      <c r="J11" s="15">
        <f>Tabelle9[[#This Row],[Amount Sold]]*Tabelle9[[#This Row],[Selling Price]]</f>
        <v>39236.800000000003</v>
      </c>
      <c r="K11" s="15">
        <f>Tabelle9[[#This Row],[Amount Bought]]*Tabelle9[[#This Row],[Supplier Price]]</f>
        <v>28640</v>
      </c>
      <c r="L11" s="15">
        <f>Tabelle9[[#This Row],[Revenue]]-Tabelle9[[#This Row],[Expenses]] +Tabelle9[[#This Row],[Biofuel revenue]]</f>
        <v>10596.800000000003</v>
      </c>
      <c r="M11" s="39">
        <f>Tabelle9[[#This Row],[Amount Expired]]*Tabelle9[[#This Row],[Supplier Price]]*0.25</f>
        <v>0</v>
      </c>
    </row>
    <row r="12" spans="1:13" x14ac:dyDescent="0.3">
      <c r="A12" s="9">
        <v>1</v>
      </c>
      <c r="B12" s="10" t="s">
        <v>2</v>
      </c>
      <c r="C12" s="11">
        <v>2551</v>
      </c>
      <c r="D12" s="11">
        <v>2551</v>
      </c>
      <c r="E12" s="24">
        <v>7.88</v>
      </c>
      <c r="F12" s="11">
        <f>Tabelle9[[#This Row],[Amount Bought]]-Tabelle9[[#This Row],[Amount Sold]]</f>
        <v>0</v>
      </c>
      <c r="G12" s="12">
        <v>6</v>
      </c>
      <c r="H12" s="13">
        <f>Tabelle9[[#This Row],[Selling Price]]-Tabelle9[[#This Row],[Supplier Price]]</f>
        <v>1.88</v>
      </c>
      <c r="I12" s="14">
        <f>Tabelle9[[#This Row],[Profit Margin]]/Tabelle9[[#This Row],[Selling Price]]</f>
        <v>0.23857868020304568</v>
      </c>
      <c r="J12" s="15">
        <f>Tabelle9[[#This Row],[Amount Sold]]*Tabelle9[[#This Row],[Selling Price]]</f>
        <v>20101.88</v>
      </c>
      <c r="K12" s="15">
        <f>Tabelle9[[#This Row],[Amount Bought]]*Tabelle9[[#This Row],[Supplier Price]]</f>
        <v>15306</v>
      </c>
      <c r="L12" s="15">
        <f>Tabelle9[[#This Row],[Revenue]]-Tabelle9[[#This Row],[Expenses]] +Tabelle9[[#This Row],[Biofuel revenue]]</f>
        <v>4795.880000000001</v>
      </c>
      <c r="M12" s="39">
        <f>Tabelle9[[#This Row],[Amount Expired]]*Tabelle9[[#This Row],[Supplier Price]]*0.25</f>
        <v>0</v>
      </c>
    </row>
    <row r="13" spans="1:13" x14ac:dyDescent="0.3">
      <c r="A13" s="9">
        <v>1</v>
      </c>
      <c r="B13" s="10" t="s">
        <v>1</v>
      </c>
      <c r="C13" s="11">
        <v>2132</v>
      </c>
      <c r="D13" s="11">
        <v>2132</v>
      </c>
      <c r="E13" s="24">
        <v>20.010000000000002</v>
      </c>
      <c r="F13" s="11">
        <f>Tabelle9[[#This Row],[Amount Bought]]-Tabelle9[[#This Row],[Amount Sold]]</f>
        <v>0</v>
      </c>
      <c r="G13" s="12">
        <v>15</v>
      </c>
      <c r="H13" s="13">
        <f>Tabelle9[[#This Row],[Selling Price]]-Tabelle9[[#This Row],[Supplier Price]]</f>
        <v>5.0100000000000016</v>
      </c>
      <c r="I13" s="14">
        <f>Tabelle9[[#This Row],[Profit Margin]]/Tabelle9[[#This Row],[Selling Price]]</f>
        <v>0.2503748125937032</v>
      </c>
      <c r="J13" s="15">
        <f>Tabelle9[[#This Row],[Amount Sold]]*Tabelle9[[#This Row],[Selling Price]]</f>
        <v>42661.32</v>
      </c>
      <c r="K13" s="15">
        <f>Tabelle9[[#This Row],[Amount Bought]]*Tabelle9[[#This Row],[Supplier Price]]</f>
        <v>31980</v>
      </c>
      <c r="L13" s="15">
        <f>Tabelle9[[#This Row],[Revenue]]-Tabelle9[[#This Row],[Expenses]] +Tabelle9[[#This Row],[Biofuel revenue]]</f>
        <v>10681.32</v>
      </c>
      <c r="M13" s="39">
        <f>Tabelle9[[#This Row],[Amount Expired]]*Tabelle9[[#This Row],[Supplier Price]]*0.25</f>
        <v>0</v>
      </c>
    </row>
    <row r="14" spans="1:13" ht="15" thickBot="1" x14ac:dyDescent="0.35">
      <c r="A14" s="9">
        <v>1</v>
      </c>
      <c r="B14" s="10" t="s">
        <v>5</v>
      </c>
      <c r="C14" s="11">
        <v>2919</v>
      </c>
      <c r="D14" s="11">
        <v>2919</v>
      </c>
      <c r="E14" s="24">
        <v>47.76</v>
      </c>
      <c r="F14" s="11">
        <f>Tabelle9[[#This Row],[Amount Bought]]-Tabelle9[[#This Row],[Amount Sold]]</f>
        <v>0</v>
      </c>
      <c r="G14" s="12">
        <v>35</v>
      </c>
      <c r="H14" s="13">
        <f>Tabelle9[[#This Row],[Selling Price]]-Tabelle9[[#This Row],[Supplier Price]]</f>
        <v>12.759999999999998</v>
      </c>
      <c r="I14" s="14">
        <f>Tabelle9[[#This Row],[Profit Margin]]/Tabelle9[[#This Row],[Selling Price]]</f>
        <v>0.26716917922948069</v>
      </c>
      <c r="J14" s="15">
        <f>Tabelle9[[#This Row],[Amount Sold]]*Tabelle9[[#This Row],[Selling Price]]</f>
        <v>139411.44</v>
      </c>
      <c r="K14" s="15">
        <f>Tabelle9[[#This Row],[Amount Bought]]*Tabelle9[[#This Row],[Supplier Price]]</f>
        <v>102165</v>
      </c>
      <c r="L14" s="15">
        <f>Tabelle9[[#This Row],[Revenue]]-Tabelle9[[#This Row],[Expenses]] +Tabelle9[[#This Row],[Biofuel revenue]]</f>
        <v>37246.44</v>
      </c>
      <c r="M14" s="39">
        <f>Tabelle9[[#This Row],[Amount Expired]]*Tabelle9[[#This Row],[Supplier Price]]*0.25</f>
        <v>0</v>
      </c>
    </row>
    <row r="15" spans="1:13" ht="15" thickTop="1" x14ac:dyDescent="0.3">
      <c r="A15" s="17" t="s">
        <v>18</v>
      </c>
      <c r="B15" s="18"/>
      <c r="C15" s="19"/>
      <c r="D15" s="17"/>
      <c r="E15" s="20"/>
      <c r="F15" s="19"/>
      <c r="G15" s="19"/>
      <c r="H15" s="21"/>
      <c r="I15" s="23"/>
      <c r="J15" s="23">
        <f>SUM(Tabelle9[Revenue])</f>
        <v>1213734.54</v>
      </c>
      <c r="K15" s="23">
        <f>SUM(Tabelle9[Expenses])</f>
        <v>1903024</v>
      </c>
      <c r="L15" s="23">
        <f>SUM(Tabelle9[Profit])</f>
        <v>-433435.71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E61A-C9E0-458F-8DF1-7C68813C1DA8}">
  <dimension ref="A1:M15"/>
  <sheetViews>
    <sheetView workbookViewId="0">
      <selection activeCell="N16" sqref="N16"/>
    </sheetView>
  </sheetViews>
  <sheetFormatPr baseColWidth="10" defaultRowHeight="14.4" x14ac:dyDescent="0.3"/>
  <cols>
    <col min="10" max="10" width="14.5546875" bestFit="1" customWidth="1"/>
    <col min="11" max="12" width="17.21875" bestFit="1" customWidth="1"/>
    <col min="13" max="13" width="16.33203125" bestFit="1" customWidth="1"/>
  </cols>
  <sheetData>
    <row r="1" spans="1:13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  <c r="M1" t="s">
        <v>70</v>
      </c>
    </row>
    <row r="2" spans="1:13" x14ac:dyDescent="0.3">
      <c r="A2" s="11">
        <v>2</v>
      </c>
      <c r="B2" s="10" t="s">
        <v>9</v>
      </c>
      <c r="C2" s="11">
        <v>34</v>
      </c>
      <c r="D2" s="11">
        <v>2454</v>
      </c>
      <c r="E2" s="12">
        <v>17.239999999999998</v>
      </c>
      <c r="F2" s="6">
        <f>Tabelle10[[#This Row],[Amount Bought]]-Tabelle10[[#This Row],[Amount Sold]]</f>
        <v>2420</v>
      </c>
      <c r="G2" s="12">
        <v>12</v>
      </c>
      <c r="H2" s="13">
        <f>Tabelle10[[#This Row],[Selling Price]]-Tabelle10[[#This Row],[Supplier Price]]</f>
        <v>5.2399999999999984</v>
      </c>
      <c r="I2" s="14">
        <f>Tabelle10[[#This Row],[Profit Margin]]/Tabelle10[[#This Row],[Selling Price]]</f>
        <v>0.30394431554524354</v>
      </c>
      <c r="J2" s="15">
        <f>Tabelle10[[#This Row],[Amount Sold]]*Tabelle10[[#This Row],[Selling Price]]</f>
        <v>586.16</v>
      </c>
      <c r="K2" s="15">
        <f>Tabelle10[[#This Row],[Amount Bought]]*Tabelle10[[#This Row],[Supplier Price]]</f>
        <v>29448</v>
      </c>
      <c r="L2" s="15">
        <f>Tabelle10[[#This Row],[Revenue]]-Tabelle10[[#This Row],[Expenses]] + Tabelle10[[#This Row],[Biofuel Revenue]]</f>
        <v>-21601.84</v>
      </c>
      <c r="M2" s="39">
        <f>Tabelle10[[#This Row],[Amount Expired]]*Tabelle10[[#This Row],[Supplier Price]]*0.25</f>
        <v>7260</v>
      </c>
    </row>
    <row r="3" spans="1:13" x14ac:dyDescent="0.3">
      <c r="A3" s="11">
        <v>2</v>
      </c>
      <c r="B3" s="10" t="s">
        <v>6</v>
      </c>
      <c r="C3" s="11">
        <v>3</v>
      </c>
      <c r="D3" s="11">
        <v>2201</v>
      </c>
      <c r="E3" s="12">
        <v>87.13</v>
      </c>
      <c r="F3" s="6">
        <f>Tabelle10[[#This Row],[Amount Bought]]-Tabelle10[[#This Row],[Amount Sold]]</f>
        <v>2198</v>
      </c>
      <c r="G3" s="12">
        <v>65</v>
      </c>
      <c r="H3" s="13">
        <f>Tabelle10[[#This Row],[Selling Price]]-Tabelle10[[#This Row],[Supplier Price]]</f>
        <v>22.129999999999995</v>
      </c>
      <c r="I3" s="14">
        <f>Tabelle10[[#This Row],[Profit Margin]]/Tabelle10[[#This Row],[Selling Price]]</f>
        <v>0.2539882933547572</v>
      </c>
      <c r="J3" s="15">
        <f>Tabelle10[[#This Row],[Amount Sold]]*Tabelle10[[#This Row],[Selling Price]]</f>
        <v>261.39</v>
      </c>
      <c r="K3" s="15">
        <f>Tabelle10[[#This Row],[Amount Bought]]*Tabelle10[[#This Row],[Supplier Price]]</f>
        <v>143065</v>
      </c>
      <c r="L3" s="15">
        <f>Tabelle10[[#This Row],[Revenue]]-Tabelle10[[#This Row],[Expenses]] + Tabelle10[[#This Row],[Biofuel Revenue]]</f>
        <v>-107086.10999999999</v>
      </c>
      <c r="M3" s="39">
        <f>Tabelle10[[#This Row],[Amount Expired]]*Tabelle10[[#This Row],[Supplier Price]]*0.25</f>
        <v>35717.5</v>
      </c>
    </row>
    <row r="4" spans="1:13" x14ac:dyDescent="0.3">
      <c r="A4" s="11">
        <v>2</v>
      </c>
      <c r="B4" s="10" t="s">
        <v>8</v>
      </c>
      <c r="C4" s="11">
        <v>0</v>
      </c>
      <c r="D4" s="11">
        <v>69</v>
      </c>
      <c r="E4" s="12">
        <v>787.54</v>
      </c>
      <c r="F4" s="6">
        <f>Tabelle10[[#This Row],[Amount Bought]]-Tabelle10[[#This Row],[Amount Sold]]</f>
        <v>69</v>
      </c>
      <c r="G4" s="12">
        <v>580</v>
      </c>
      <c r="H4" s="13">
        <f>Tabelle10[[#This Row],[Selling Price]]-Tabelle10[[#This Row],[Supplier Price]]</f>
        <v>207.53999999999996</v>
      </c>
      <c r="I4" s="14">
        <f>Tabelle10[[#This Row],[Profit Margin]]/Tabelle10[[#This Row],[Selling Price]]</f>
        <v>0.26352947151890693</v>
      </c>
      <c r="J4" s="15">
        <f>Tabelle10[[#This Row],[Amount Sold]]*Tabelle10[[#This Row],[Selling Price]]</f>
        <v>0</v>
      </c>
      <c r="K4" s="15">
        <f>Tabelle10[[#This Row],[Amount Bought]]*Tabelle10[[#This Row],[Supplier Price]]</f>
        <v>40020</v>
      </c>
      <c r="L4" s="15">
        <f>Tabelle10[[#This Row],[Revenue]]-Tabelle10[[#This Row],[Expenses]] + Tabelle10[[#This Row],[Biofuel Revenue]]</f>
        <v>-30015</v>
      </c>
      <c r="M4" s="39">
        <f>Tabelle10[[#This Row],[Amount Expired]]*Tabelle10[[#This Row],[Supplier Price]]*0.25</f>
        <v>10005</v>
      </c>
    </row>
    <row r="5" spans="1:13" x14ac:dyDescent="0.3">
      <c r="A5" s="11">
        <v>2</v>
      </c>
      <c r="B5" s="10" t="s">
        <v>11</v>
      </c>
      <c r="C5" s="11">
        <v>20</v>
      </c>
      <c r="D5" s="11">
        <v>3420</v>
      </c>
      <c r="E5" s="12">
        <v>66.77</v>
      </c>
      <c r="F5" s="6">
        <f>Tabelle10[[#This Row],[Amount Bought]]-Tabelle10[[#This Row],[Amount Sold]]</f>
        <v>3400</v>
      </c>
      <c r="G5" s="12">
        <v>45</v>
      </c>
      <c r="H5" s="13">
        <f>Tabelle10[[#This Row],[Selling Price]]-Tabelle10[[#This Row],[Supplier Price]]</f>
        <v>21.769999999999996</v>
      </c>
      <c r="I5" s="14">
        <f>Tabelle10[[#This Row],[Profit Margin]]/Tabelle10[[#This Row],[Selling Price]]</f>
        <v>0.32604463082222551</v>
      </c>
      <c r="J5" s="15">
        <f>Tabelle10[[#This Row],[Amount Sold]]*Tabelle10[[#This Row],[Selling Price]]</f>
        <v>1335.3999999999999</v>
      </c>
      <c r="K5" s="15">
        <f>Tabelle10[[#This Row],[Amount Bought]]*Tabelle10[[#This Row],[Supplier Price]]</f>
        <v>153900</v>
      </c>
      <c r="L5" s="15">
        <f>Tabelle10[[#This Row],[Revenue]]-Tabelle10[[#This Row],[Expenses]] + Tabelle10[[#This Row],[Biofuel Revenue]]</f>
        <v>-114314.6</v>
      </c>
      <c r="M5" s="39">
        <f>Tabelle10[[#This Row],[Amount Expired]]*Tabelle10[[#This Row],[Supplier Price]]*0.25</f>
        <v>38250</v>
      </c>
    </row>
    <row r="6" spans="1:13" x14ac:dyDescent="0.3">
      <c r="A6" s="11">
        <v>2</v>
      </c>
      <c r="B6" s="10" t="s">
        <v>4</v>
      </c>
      <c r="C6" s="11">
        <v>34</v>
      </c>
      <c r="D6" s="11">
        <v>3257</v>
      </c>
      <c r="E6" s="12">
        <v>26.71</v>
      </c>
      <c r="F6" s="6">
        <f>Tabelle10[[#This Row],[Amount Bought]]-Tabelle10[[#This Row],[Amount Sold]]</f>
        <v>3223</v>
      </c>
      <c r="G6" s="12">
        <v>18</v>
      </c>
      <c r="H6" s="13">
        <f>Tabelle10[[#This Row],[Selling Price]]-Tabelle10[[#This Row],[Supplier Price]]</f>
        <v>8.7100000000000009</v>
      </c>
      <c r="I6" s="14">
        <f>Tabelle10[[#This Row],[Profit Margin]]/Tabelle10[[#This Row],[Selling Price]]</f>
        <v>0.32609509546986148</v>
      </c>
      <c r="J6" s="15">
        <f>Tabelle10[[#This Row],[Amount Sold]]*Tabelle10[[#This Row],[Selling Price]]</f>
        <v>908.14</v>
      </c>
      <c r="K6" s="15">
        <f>Tabelle10[[#This Row],[Amount Bought]]*Tabelle10[[#This Row],[Supplier Price]]</f>
        <v>58626</v>
      </c>
      <c r="L6" s="15">
        <f>Tabelle10[[#This Row],[Revenue]]-Tabelle10[[#This Row],[Expenses]] + Tabelle10[[#This Row],[Biofuel Revenue]]</f>
        <v>-43214.36</v>
      </c>
      <c r="M6" s="39">
        <f>Tabelle10[[#This Row],[Amount Expired]]*Tabelle10[[#This Row],[Supplier Price]]*0.25</f>
        <v>14503.5</v>
      </c>
    </row>
    <row r="7" spans="1:13" x14ac:dyDescent="0.3">
      <c r="A7" s="11">
        <v>2</v>
      </c>
      <c r="B7" s="10" t="s">
        <v>3</v>
      </c>
      <c r="C7" s="11">
        <v>42</v>
      </c>
      <c r="D7" s="11">
        <v>2694</v>
      </c>
      <c r="E7" s="12">
        <v>10.8</v>
      </c>
      <c r="F7" s="6">
        <f>Tabelle10[[#This Row],[Amount Bought]]-Tabelle10[[#This Row],[Amount Sold]]</f>
        <v>2652</v>
      </c>
      <c r="G7" s="12">
        <v>8</v>
      </c>
      <c r="H7" s="13">
        <f>Tabelle10[[#This Row],[Selling Price]]-Tabelle10[[#This Row],[Supplier Price]]</f>
        <v>2.8000000000000007</v>
      </c>
      <c r="I7" s="14">
        <f>Tabelle10[[#This Row],[Profit Margin]]/Tabelle10[[#This Row],[Selling Price]]</f>
        <v>0.2592592592592593</v>
      </c>
      <c r="J7" s="15">
        <f>Tabelle10[[#This Row],[Amount Sold]]*Tabelle10[[#This Row],[Selling Price]]</f>
        <v>453.6</v>
      </c>
      <c r="K7" s="15">
        <f>Tabelle10[[#This Row],[Amount Bought]]*Tabelle10[[#This Row],[Supplier Price]]</f>
        <v>21552</v>
      </c>
      <c r="L7" s="15">
        <f>Tabelle10[[#This Row],[Revenue]]-Tabelle10[[#This Row],[Expenses]] + Tabelle10[[#This Row],[Biofuel Revenue]]</f>
        <v>-15794.400000000001</v>
      </c>
      <c r="M7" s="39">
        <f>Tabelle10[[#This Row],[Amount Expired]]*Tabelle10[[#This Row],[Supplier Price]]*0.25</f>
        <v>5304</v>
      </c>
    </row>
    <row r="8" spans="1:13" x14ac:dyDescent="0.3">
      <c r="A8" s="11">
        <v>2</v>
      </c>
      <c r="B8" s="10" t="s">
        <v>12</v>
      </c>
      <c r="C8" s="11">
        <v>27</v>
      </c>
      <c r="D8" s="11">
        <v>2983</v>
      </c>
      <c r="E8" s="12">
        <v>51.23</v>
      </c>
      <c r="F8" s="6">
        <f>Tabelle10[[#This Row],[Amount Bought]]-Tabelle10[[#This Row],[Amount Sold]]</f>
        <v>2956</v>
      </c>
      <c r="G8" s="12">
        <v>38</v>
      </c>
      <c r="H8" s="13">
        <f>Tabelle10[[#This Row],[Selling Price]]-Tabelle10[[#This Row],[Supplier Price]]</f>
        <v>13.229999999999997</v>
      </c>
      <c r="I8" s="14">
        <f>Tabelle10[[#This Row],[Profit Margin]]/Tabelle10[[#This Row],[Selling Price]]</f>
        <v>0.25824712082764001</v>
      </c>
      <c r="J8" s="15">
        <f>Tabelle10[[#This Row],[Amount Sold]]*Tabelle10[[#This Row],[Selling Price]]</f>
        <v>1383.2099999999998</v>
      </c>
      <c r="K8" s="15">
        <f>Tabelle10[[#This Row],[Amount Bought]]*Tabelle10[[#This Row],[Supplier Price]]</f>
        <v>113354</v>
      </c>
      <c r="L8" s="15">
        <f>Tabelle10[[#This Row],[Revenue]]-Tabelle10[[#This Row],[Expenses]] + Tabelle10[[#This Row],[Biofuel Revenue]]</f>
        <v>-83888.79</v>
      </c>
      <c r="M8" s="39">
        <f>Tabelle10[[#This Row],[Amount Expired]]*Tabelle10[[#This Row],[Supplier Price]]*0.25</f>
        <v>28082</v>
      </c>
    </row>
    <row r="9" spans="1:13" x14ac:dyDescent="0.3">
      <c r="A9" s="11">
        <v>2</v>
      </c>
      <c r="B9" s="10" t="s">
        <v>7</v>
      </c>
      <c r="C9" s="11">
        <v>2</v>
      </c>
      <c r="D9" s="11">
        <v>2008</v>
      </c>
      <c r="E9" s="12">
        <v>312.83</v>
      </c>
      <c r="F9" s="6">
        <f>Tabelle10[[#This Row],[Amount Bought]]-Tabelle10[[#This Row],[Amount Sold]]</f>
        <v>2006</v>
      </c>
      <c r="G9" s="12">
        <v>220</v>
      </c>
      <c r="H9" s="13">
        <f>Tabelle10[[#This Row],[Selling Price]]-Tabelle10[[#This Row],[Supplier Price]]</f>
        <v>92.829999999999984</v>
      </c>
      <c r="I9" s="14">
        <f>Tabelle10[[#This Row],[Profit Margin]]/Tabelle10[[#This Row],[Selling Price]]</f>
        <v>0.29674263977240029</v>
      </c>
      <c r="J9" s="15">
        <f>Tabelle10[[#This Row],[Amount Sold]]*Tabelle10[[#This Row],[Selling Price]]</f>
        <v>625.66</v>
      </c>
      <c r="K9" s="15">
        <f>Tabelle10[[#This Row],[Amount Bought]]*Tabelle10[[#This Row],[Supplier Price]]</f>
        <v>441760</v>
      </c>
      <c r="L9" s="15">
        <f>Tabelle10[[#This Row],[Revenue]]-Tabelle10[[#This Row],[Expenses]] + Tabelle10[[#This Row],[Biofuel Revenue]]</f>
        <v>-330804.34000000003</v>
      </c>
      <c r="M9" s="39">
        <f>Tabelle10[[#This Row],[Amount Expired]]*Tabelle10[[#This Row],[Supplier Price]]*0.25</f>
        <v>110330</v>
      </c>
    </row>
    <row r="10" spans="1:13" x14ac:dyDescent="0.3">
      <c r="A10" s="11">
        <v>2</v>
      </c>
      <c r="B10" s="10" t="s">
        <v>27</v>
      </c>
      <c r="C10" s="11">
        <v>15</v>
      </c>
      <c r="D10" s="11">
        <v>2515</v>
      </c>
      <c r="E10" s="12">
        <v>371.22</v>
      </c>
      <c r="F10" s="6">
        <f>Tabelle10[[#This Row],[Amount Bought]]-Tabelle10[[#This Row],[Amount Sold]]</f>
        <v>2500</v>
      </c>
      <c r="G10" s="12">
        <v>280</v>
      </c>
      <c r="H10" s="13">
        <f>Tabelle10[[#This Row],[Selling Price]]-Tabelle10[[#This Row],[Supplier Price]]</f>
        <v>91.220000000000027</v>
      </c>
      <c r="I10" s="14">
        <f>Tabelle10[[#This Row],[Profit Margin]]/Tabelle10[[#This Row],[Selling Price]]</f>
        <v>0.24573029470394919</v>
      </c>
      <c r="J10" s="15">
        <f>Tabelle10[[#This Row],[Amount Sold]]*Tabelle10[[#This Row],[Selling Price]]</f>
        <v>5568.3</v>
      </c>
      <c r="K10" s="15">
        <f>Tabelle10[[#This Row],[Amount Bought]]*Tabelle10[[#This Row],[Supplier Price]]</f>
        <v>704200</v>
      </c>
      <c r="L10" s="15">
        <f>Tabelle10[[#This Row],[Revenue]]-Tabelle10[[#This Row],[Expenses]] + Tabelle10[[#This Row],[Biofuel Revenue]]</f>
        <v>-523631.69999999995</v>
      </c>
      <c r="M10" s="39">
        <f>Tabelle10[[#This Row],[Amount Expired]]*Tabelle10[[#This Row],[Supplier Price]]*0.25</f>
        <v>175000</v>
      </c>
    </row>
    <row r="11" spans="1:13" x14ac:dyDescent="0.3">
      <c r="A11" s="11">
        <v>2</v>
      </c>
      <c r="B11" s="10" t="s">
        <v>10</v>
      </c>
      <c r="C11" s="11">
        <v>68</v>
      </c>
      <c r="D11" s="11">
        <v>3485</v>
      </c>
      <c r="E11" s="12">
        <v>23.27</v>
      </c>
      <c r="F11" s="6">
        <f>Tabelle10[[#This Row],[Amount Bought]]-Tabelle10[[#This Row],[Amount Sold]]</f>
        <v>3417</v>
      </c>
      <c r="G11" s="12">
        <v>16</v>
      </c>
      <c r="H11" s="13">
        <f>Tabelle10[[#This Row],[Selling Price]]-Tabelle10[[#This Row],[Supplier Price]]</f>
        <v>7.27</v>
      </c>
      <c r="I11" s="14">
        <f>Tabelle10[[#This Row],[Profit Margin]]/Tabelle10[[#This Row],[Selling Price]]</f>
        <v>0.31241942415126772</v>
      </c>
      <c r="J11" s="15">
        <f>Tabelle10[[#This Row],[Amount Sold]]*Tabelle10[[#This Row],[Selling Price]]</f>
        <v>1582.36</v>
      </c>
      <c r="K11" s="15">
        <f>Tabelle10[[#This Row],[Amount Bought]]*Tabelle10[[#This Row],[Supplier Price]]</f>
        <v>55760</v>
      </c>
      <c r="L11" s="15">
        <f>Tabelle10[[#This Row],[Revenue]]-Tabelle10[[#This Row],[Expenses]] + Tabelle10[[#This Row],[Biofuel Revenue]]</f>
        <v>-40509.64</v>
      </c>
      <c r="M11" s="39">
        <f>Tabelle10[[#This Row],[Amount Expired]]*Tabelle10[[#This Row],[Supplier Price]]*0.25</f>
        <v>13668</v>
      </c>
    </row>
    <row r="12" spans="1:13" x14ac:dyDescent="0.3">
      <c r="A12" s="11">
        <v>2</v>
      </c>
      <c r="B12" s="10" t="s">
        <v>2</v>
      </c>
      <c r="C12" s="11">
        <v>35</v>
      </c>
      <c r="D12" s="11">
        <v>3178</v>
      </c>
      <c r="E12" s="12">
        <v>8.86</v>
      </c>
      <c r="F12" s="6">
        <f>Tabelle10[[#This Row],[Amount Bought]]-Tabelle10[[#This Row],[Amount Sold]]</f>
        <v>3143</v>
      </c>
      <c r="G12" s="12">
        <v>6</v>
      </c>
      <c r="H12" s="13">
        <f>Tabelle10[[#This Row],[Selling Price]]-Tabelle10[[#This Row],[Supplier Price]]</f>
        <v>2.8599999999999994</v>
      </c>
      <c r="I12" s="14">
        <f>Tabelle10[[#This Row],[Profit Margin]]/Tabelle10[[#This Row],[Selling Price]]</f>
        <v>0.32279909706546273</v>
      </c>
      <c r="J12" s="15">
        <f>Tabelle10[[#This Row],[Amount Sold]]*Tabelle10[[#This Row],[Selling Price]]</f>
        <v>310.09999999999997</v>
      </c>
      <c r="K12" s="15">
        <f>Tabelle10[[#This Row],[Amount Bought]]*Tabelle10[[#This Row],[Supplier Price]]</f>
        <v>19068</v>
      </c>
      <c r="L12" s="15">
        <f>Tabelle10[[#This Row],[Revenue]]-Tabelle10[[#This Row],[Expenses]] + Tabelle10[[#This Row],[Biofuel Revenue]]</f>
        <v>-14043.400000000001</v>
      </c>
      <c r="M12" s="39">
        <f>Tabelle10[[#This Row],[Amount Expired]]*Tabelle10[[#This Row],[Supplier Price]]*0.25</f>
        <v>4714.5</v>
      </c>
    </row>
    <row r="13" spans="1:13" x14ac:dyDescent="0.3">
      <c r="A13" s="11">
        <v>2</v>
      </c>
      <c r="B13" s="10" t="s">
        <v>1</v>
      </c>
      <c r="C13" s="11">
        <v>22</v>
      </c>
      <c r="D13" s="11">
        <v>2475</v>
      </c>
      <c r="E13" s="12">
        <v>20.79</v>
      </c>
      <c r="F13" s="6">
        <f>Tabelle10[[#This Row],[Amount Bought]]-Tabelle10[[#This Row],[Amount Sold]]</f>
        <v>2453</v>
      </c>
      <c r="G13" s="12">
        <v>15</v>
      </c>
      <c r="H13" s="13">
        <f>Tabelle10[[#This Row],[Selling Price]]-Tabelle10[[#This Row],[Supplier Price]]</f>
        <v>5.7899999999999991</v>
      </c>
      <c r="I13" s="14">
        <f>Tabelle10[[#This Row],[Profit Margin]]/Tabelle10[[#This Row],[Selling Price]]</f>
        <v>0.27849927849927847</v>
      </c>
      <c r="J13" s="15">
        <f>Tabelle10[[#This Row],[Amount Sold]]*Tabelle10[[#This Row],[Selling Price]]</f>
        <v>457.38</v>
      </c>
      <c r="K13" s="15">
        <f>Tabelle10[[#This Row],[Amount Bought]]*Tabelle10[[#This Row],[Supplier Price]]</f>
        <v>37125</v>
      </c>
      <c r="L13" s="15">
        <f>Tabelle10[[#This Row],[Revenue]]-Tabelle10[[#This Row],[Expenses]] + Tabelle10[[#This Row],[Biofuel Revenue]]</f>
        <v>-27468.870000000003</v>
      </c>
      <c r="M13" s="39">
        <f>Tabelle10[[#This Row],[Amount Expired]]*Tabelle10[[#This Row],[Supplier Price]]*0.25</f>
        <v>9198.75</v>
      </c>
    </row>
    <row r="14" spans="1:13" x14ac:dyDescent="0.3">
      <c r="A14" s="11">
        <v>2</v>
      </c>
      <c r="B14" s="10" t="s">
        <v>5</v>
      </c>
      <c r="C14" s="11">
        <v>30</v>
      </c>
      <c r="D14" s="11">
        <v>1788</v>
      </c>
      <c r="E14" s="12">
        <v>49.94</v>
      </c>
      <c r="F14" s="6">
        <f>Tabelle10[[#This Row],[Amount Bought]]-Tabelle10[[#This Row],[Amount Sold]]</f>
        <v>1758</v>
      </c>
      <c r="G14" s="12">
        <v>35</v>
      </c>
      <c r="H14" s="13">
        <f>Tabelle10[[#This Row],[Selling Price]]-Tabelle10[[#This Row],[Supplier Price]]</f>
        <v>14.939999999999998</v>
      </c>
      <c r="I14" s="14">
        <f>Tabelle10[[#This Row],[Profit Margin]]/Tabelle10[[#This Row],[Selling Price]]</f>
        <v>0.2991589907889467</v>
      </c>
      <c r="J14" s="15">
        <f>Tabelle10[[#This Row],[Amount Sold]]*Tabelle10[[#This Row],[Selling Price]]</f>
        <v>1498.1999999999998</v>
      </c>
      <c r="K14" s="15">
        <f>Tabelle10[[#This Row],[Amount Bought]]*Tabelle10[[#This Row],[Supplier Price]]</f>
        <v>62580</v>
      </c>
      <c r="L14" s="15">
        <f>Tabelle10[[#This Row],[Revenue]]-Tabelle10[[#This Row],[Expenses]] + Tabelle10[[#This Row],[Biofuel Revenue]]</f>
        <v>-45699.3</v>
      </c>
      <c r="M14" s="39">
        <f>Tabelle10[[#This Row],[Amount Expired]]*Tabelle10[[#This Row],[Supplier Price]]*0.25</f>
        <v>15382.5</v>
      </c>
    </row>
    <row r="15" spans="1:13" x14ac:dyDescent="0.3">
      <c r="A15" s="11"/>
      <c r="B15" s="10"/>
      <c r="C15" s="11"/>
      <c r="D15" s="11"/>
      <c r="E15" s="12"/>
      <c r="F15" s="6"/>
      <c r="G15" s="12"/>
      <c r="H15" s="13"/>
      <c r="I15" s="14"/>
      <c r="J15" s="15">
        <f>SUM(Tabelle10[Revenue])</f>
        <v>14969.900000000001</v>
      </c>
      <c r="K15" s="15">
        <f>SUM(Tabelle10[Expenses])</f>
        <v>1880458</v>
      </c>
      <c r="L15" s="15">
        <f>SUM(Tabelle10[Profit])</f>
        <v>-1398072.3499999999</v>
      </c>
      <c r="M15" s="6"/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062C-C475-4A03-B656-05218F775353}">
  <dimension ref="A1:M15"/>
  <sheetViews>
    <sheetView workbookViewId="0">
      <selection activeCell="N16" sqref="N16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1" width="17.21875" bestFit="1" customWidth="1"/>
    <col min="12" max="12" width="15.5546875" bestFit="1" customWidth="1"/>
    <col min="13" max="13" width="16.33203125" bestFit="1" customWidth="1"/>
  </cols>
  <sheetData>
    <row r="1" spans="1:13" x14ac:dyDescent="0.3">
      <c r="A1" s="16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  <c r="M1" s="16" t="s">
        <v>70</v>
      </c>
    </row>
    <row r="2" spans="1:13" x14ac:dyDescent="0.3">
      <c r="A2" s="11">
        <v>3</v>
      </c>
      <c r="B2" s="10" t="s">
        <v>9</v>
      </c>
      <c r="C2" s="11">
        <v>2186</v>
      </c>
      <c r="D2" s="11">
        <v>2186</v>
      </c>
      <c r="E2" s="12">
        <v>16.7</v>
      </c>
      <c r="F2" s="6">
        <f>D2-C2</f>
        <v>0</v>
      </c>
      <c r="G2" s="26">
        <v>12</v>
      </c>
      <c r="H2" s="13">
        <f>Tabelle11[[#This Row],[Selling Price]]-Tabelle11[[#This Row],[Supplier Price]]</f>
        <v>4.6999999999999993</v>
      </c>
      <c r="I2" s="14">
        <f>Tabelle11[[#This Row],[Profit Margin]]/Tabelle11[[#This Row],[Selling Price]]</f>
        <v>0.28143712574850294</v>
      </c>
      <c r="J2" s="15">
        <f>Tabelle11[[#This Row],[Amount Sold]]*Tabelle11[[#This Row],[Selling Price]]</f>
        <v>36506.199999999997</v>
      </c>
      <c r="K2" s="15">
        <f>Tabelle11[[#This Row],[Amount Bought]]*Tabelle11[[#This Row],[Supplier Price]]</f>
        <v>26232</v>
      </c>
      <c r="L2" s="15">
        <f>Tabelle11[[#This Row],[Revenue]]-Tabelle11[[#This Row],[Expenses]] + Tabelle11[[#This Row],[Biofuel Revenue]]</f>
        <v>10274.199999999997</v>
      </c>
      <c r="M2" s="39">
        <f>Tabelle11[[#This Row],[Amount Expired]]*Tabelle11[[#This Row],[Supplier Price]]*0.25</f>
        <v>0</v>
      </c>
    </row>
    <row r="3" spans="1:13" x14ac:dyDescent="0.3">
      <c r="A3" s="11">
        <v>3</v>
      </c>
      <c r="B3" s="10" t="s">
        <v>6</v>
      </c>
      <c r="C3" s="11">
        <v>146</v>
      </c>
      <c r="D3" s="11">
        <v>2380</v>
      </c>
      <c r="E3" s="12">
        <v>91.51</v>
      </c>
      <c r="F3" s="6">
        <f t="shared" ref="F3:F14" si="0">D3-C3</f>
        <v>2234</v>
      </c>
      <c r="G3" s="26">
        <v>65</v>
      </c>
      <c r="H3" s="13">
        <f>Tabelle11[[#This Row],[Selling Price]]-Tabelle11[[#This Row],[Supplier Price]]</f>
        <v>26.510000000000005</v>
      </c>
      <c r="I3" s="14">
        <f>Tabelle11[[#This Row],[Profit Margin]]/Tabelle11[[#This Row],[Selling Price]]</f>
        <v>0.28969511528794673</v>
      </c>
      <c r="J3" s="15">
        <f>Tabelle11[[#This Row],[Amount Sold]]*Tabelle11[[#This Row],[Selling Price]]</f>
        <v>13360.460000000001</v>
      </c>
      <c r="K3" s="15">
        <f>Tabelle11[[#This Row],[Amount Bought]]*Tabelle11[[#This Row],[Supplier Price]]</f>
        <v>154700</v>
      </c>
      <c r="L3" s="15">
        <f>Tabelle11[[#This Row],[Revenue]]-Tabelle11[[#This Row],[Expenses]] + Tabelle11[[#This Row],[Biofuel Revenue]]</f>
        <v>-105037.04000000001</v>
      </c>
      <c r="M3" s="39">
        <f>Tabelle11[[#This Row],[Amount Expired]]*Tabelle11[[#This Row],[Supplier Price]]*0.25</f>
        <v>36302.5</v>
      </c>
    </row>
    <row r="4" spans="1:13" x14ac:dyDescent="0.3">
      <c r="A4" s="11">
        <v>3</v>
      </c>
      <c r="B4" s="6" t="s">
        <v>8</v>
      </c>
      <c r="C4" s="11">
        <v>69</v>
      </c>
      <c r="D4" s="11">
        <v>69</v>
      </c>
      <c r="E4" s="12">
        <v>785.37</v>
      </c>
      <c r="F4" s="6">
        <f t="shared" si="0"/>
        <v>0</v>
      </c>
      <c r="G4" s="26">
        <v>580</v>
      </c>
      <c r="H4" s="13">
        <f>Tabelle11[[#This Row],[Selling Price]]-Tabelle11[[#This Row],[Supplier Price]]</f>
        <v>205.37</v>
      </c>
      <c r="I4" s="14">
        <f>Tabelle11[[#This Row],[Profit Margin]]/Tabelle11[[#This Row],[Selling Price]]</f>
        <v>0.2614945821714606</v>
      </c>
      <c r="J4" s="15">
        <f>Tabelle11[[#This Row],[Amount Sold]]*Tabelle11[[#This Row],[Selling Price]]</f>
        <v>54190.53</v>
      </c>
      <c r="K4" s="15">
        <f>Tabelle11[[#This Row],[Amount Bought]]*Tabelle11[[#This Row],[Supplier Price]]</f>
        <v>40020</v>
      </c>
      <c r="L4" s="15">
        <f>Tabelle11[[#This Row],[Revenue]]-Tabelle11[[#This Row],[Expenses]] + Tabelle11[[#This Row],[Biofuel Revenue]]</f>
        <v>14170.529999999999</v>
      </c>
      <c r="M4" s="39">
        <f>Tabelle11[[#This Row],[Amount Expired]]*Tabelle11[[#This Row],[Supplier Price]]*0.25</f>
        <v>0</v>
      </c>
    </row>
    <row r="5" spans="1:13" x14ac:dyDescent="0.3">
      <c r="A5" s="11">
        <v>3</v>
      </c>
      <c r="B5" s="10" t="s">
        <v>11</v>
      </c>
      <c r="C5" s="11">
        <v>1602</v>
      </c>
      <c r="D5" s="11">
        <v>1602</v>
      </c>
      <c r="E5" s="12">
        <v>65.33</v>
      </c>
      <c r="F5" s="6">
        <f t="shared" si="0"/>
        <v>0</v>
      </c>
      <c r="G5" s="26">
        <v>45</v>
      </c>
      <c r="H5" s="13">
        <f>Tabelle11[[#This Row],[Selling Price]]-Tabelle11[[#This Row],[Supplier Price]]</f>
        <v>20.329999999999998</v>
      </c>
      <c r="I5" s="14">
        <f>Tabelle11[[#This Row],[Profit Margin]]/Tabelle11[[#This Row],[Selling Price]]</f>
        <v>0.31118934639522422</v>
      </c>
      <c r="J5" s="15">
        <f>Tabelle11[[#This Row],[Amount Sold]]*Tabelle11[[#This Row],[Selling Price]]</f>
        <v>104658.66</v>
      </c>
      <c r="K5" s="15">
        <f>Tabelle11[[#This Row],[Amount Bought]]*Tabelle11[[#This Row],[Supplier Price]]</f>
        <v>72090</v>
      </c>
      <c r="L5" s="15">
        <f>Tabelle11[[#This Row],[Revenue]]-Tabelle11[[#This Row],[Expenses]] + Tabelle11[[#This Row],[Biofuel Revenue]]</f>
        <v>32568.660000000003</v>
      </c>
      <c r="M5" s="39">
        <f>Tabelle11[[#This Row],[Amount Expired]]*Tabelle11[[#This Row],[Supplier Price]]*0.25</f>
        <v>0</v>
      </c>
    </row>
    <row r="6" spans="1:13" x14ac:dyDescent="0.3">
      <c r="A6" s="11">
        <v>3</v>
      </c>
      <c r="B6" s="10" t="s">
        <v>4</v>
      </c>
      <c r="C6" s="11">
        <v>1878</v>
      </c>
      <c r="D6" s="11">
        <v>1878</v>
      </c>
      <c r="E6" s="12">
        <v>24.66</v>
      </c>
      <c r="F6" s="6">
        <f t="shared" si="0"/>
        <v>0</v>
      </c>
      <c r="G6" s="26">
        <v>18</v>
      </c>
      <c r="H6" s="13">
        <f>Tabelle11[[#This Row],[Selling Price]]-Tabelle11[[#This Row],[Supplier Price]]</f>
        <v>6.66</v>
      </c>
      <c r="I6" s="14">
        <f>Tabelle11[[#This Row],[Profit Margin]]/Tabelle11[[#This Row],[Selling Price]]</f>
        <v>0.27007299270072993</v>
      </c>
      <c r="J6" s="15">
        <f>Tabelle11[[#This Row],[Amount Sold]]*Tabelle11[[#This Row],[Selling Price]]</f>
        <v>46311.48</v>
      </c>
      <c r="K6" s="15">
        <f>Tabelle11[[#This Row],[Amount Bought]]*Tabelle11[[#This Row],[Supplier Price]]</f>
        <v>33804</v>
      </c>
      <c r="L6" s="15">
        <f>Tabelle11[[#This Row],[Revenue]]-Tabelle11[[#This Row],[Expenses]] + Tabelle11[[#This Row],[Biofuel Revenue]]</f>
        <v>12507.480000000003</v>
      </c>
      <c r="M6" s="39">
        <f>Tabelle11[[#This Row],[Amount Expired]]*Tabelle11[[#This Row],[Supplier Price]]*0.25</f>
        <v>0</v>
      </c>
    </row>
    <row r="7" spans="1:13" x14ac:dyDescent="0.3">
      <c r="A7" s="11">
        <v>3</v>
      </c>
      <c r="B7" s="10" t="s">
        <v>3</v>
      </c>
      <c r="C7" s="11">
        <v>1189</v>
      </c>
      <c r="D7" s="11">
        <v>1513</v>
      </c>
      <c r="E7" s="12">
        <v>11.86</v>
      </c>
      <c r="F7" s="6">
        <f t="shared" si="0"/>
        <v>324</v>
      </c>
      <c r="G7" s="26">
        <v>8</v>
      </c>
      <c r="H7" s="13">
        <f>Tabelle11[[#This Row],[Selling Price]]-Tabelle11[[#This Row],[Supplier Price]]</f>
        <v>3.8599999999999994</v>
      </c>
      <c r="I7" s="14">
        <f>Tabelle11[[#This Row],[Profit Margin]]/Tabelle11[[#This Row],[Selling Price]]</f>
        <v>0.32546374367622255</v>
      </c>
      <c r="J7" s="15">
        <f>Tabelle11[[#This Row],[Amount Sold]]*Tabelle11[[#This Row],[Selling Price]]</f>
        <v>14101.539999999999</v>
      </c>
      <c r="K7" s="15">
        <f>Tabelle11[[#This Row],[Amount Bought]]*Tabelle11[[#This Row],[Supplier Price]]</f>
        <v>12104</v>
      </c>
      <c r="L7" s="15">
        <f>Tabelle11[[#This Row],[Revenue]]-Tabelle11[[#This Row],[Expenses]] + Tabelle11[[#This Row],[Biofuel Revenue]]</f>
        <v>2645.5399999999991</v>
      </c>
      <c r="M7" s="39">
        <f>Tabelle11[[#This Row],[Amount Expired]]*Tabelle11[[#This Row],[Supplier Price]]*0.25</f>
        <v>648</v>
      </c>
    </row>
    <row r="8" spans="1:13" x14ac:dyDescent="0.3">
      <c r="A8" s="11">
        <v>3</v>
      </c>
      <c r="B8" s="10" t="s">
        <v>12</v>
      </c>
      <c r="C8" s="11">
        <v>1607</v>
      </c>
      <c r="D8" s="11">
        <v>1795</v>
      </c>
      <c r="E8" s="12">
        <v>52.73</v>
      </c>
      <c r="F8" s="6">
        <f t="shared" si="0"/>
        <v>188</v>
      </c>
      <c r="G8" s="26">
        <v>38</v>
      </c>
      <c r="H8" s="13">
        <f>Tabelle11[[#This Row],[Selling Price]]-Tabelle11[[#This Row],[Supplier Price]]</f>
        <v>14.729999999999997</v>
      </c>
      <c r="I8" s="14">
        <f>Tabelle11[[#This Row],[Profit Margin]]/Tabelle11[[#This Row],[Selling Price]]</f>
        <v>0.27934761995069218</v>
      </c>
      <c r="J8" s="15">
        <f>Tabelle11[[#This Row],[Amount Sold]]*Tabelle11[[#This Row],[Selling Price]]</f>
        <v>84737.11</v>
      </c>
      <c r="K8" s="15">
        <f>Tabelle11[[#This Row],[Amount Bought]]*Tabelle11[[#This Row],[Supplier Price]]</f>
        <v>68210</v>
      </c>
      <c r="L8" s="15">
        <f>Tabelle11[[#This Row],[Revenue]]-Tabelle11[[#This Row],[Expenses]] + Tabelle11[[#This Row],[Biofuel Revenue]]</f>
        <v>18313.11</v>
      </c>
      <c r="M8" s="39">
        <f>Tabelle11[[#This Row],[Amount Expired]]*Tabelle11[[#This Row],[Supplier Price]]*0.25</f>
        <v>1786</v>
      </c>
    </row>
    <row r="9" spans="1:13" x14ac:dyDescent="0.3">
      <c r="A9" s="11">
        <v>3</v>
      </c>
      <c r="B9" s="10" t="s">
        <v>7</v>
      </c>
      <c r="C9" s="11">
        <v>894</v>
      </c>
      <c r="D9" s="11">
        <v>1832</v>
      </c>
      <c r="E9" s="12">
        <v>306.17</v>
      </c>
      <c r="F9" s="6">
        <f t="shared" si="0"/>
        <v>938</v>
      </c>
      <c r="G9" s="26">
        <v>220</v>
      </c>
      <c r="H9" s="13">
        <f>Tabelle11[[#This Row],[Selling Price]]-Tabelle11[[#This Row],[Supplier Price]]</f>
        <v>86.170000000000016</v>
      </c>
      <c r="I9" s="14">
        <f>Tabelle11[[#This Row],[Profit Margin]]/Tabelle11[[#This Row],[Selling Price]]</f>
        <v>0.28144494888460664</v>
      </c>
      <c r="J9" s="15">
        <f>Tabelle11[[#This Row],[Amount Sold]]*Tabelle11[[#This Row],[Selling Price]]</f>
        <v>273715.98000000004</v>
      </c>
      <c r="K9" s="15">
        <f>Tabelle11[[#This Row],[Amount Bought]]*Tabelle11[[#This Row],[Supplier Price]]</f>
        <v>403040</v>
      </c>
      <c r="L9" s="15">
        <f>Tabelle11[[#This Row],[Revenue]]-Tabelle11[[#This Row],[Expenses]] + Tabelle11[[#This Row],[Biofuel Revenue]]</f>
        <v>-77734.01999999996</v>
      </c>
      <c r="M9" s="39">
        <f>Tabelle11[[#This Row],[Amount Expired]]*Tabelle11[[#This Row],[Supplier Price]]*0.25</f>
        <v>51590</v>
      </c>
    </row>
    <row r="10" spans="1:13" x14ac:dyDescent="0.3">
      <c r="A10" s="11">
        <v>3</v>
      </c>
      <c r="B10" s="10" t="s">
        <v>27</v>
      </c>
      <c r="C10" s="11">
        <v>1300</v>
      </c>
      <c r="D10" s="11">
        <v>2587</v>
      </c>
      <c r="E10" s="12">
        <v>376.48</v>
      </c>
      <c r="F10" s="6">
        <f t="shared" si="0"/>
        <v>1287</v>
      </c>
      <c r="G10" s="26">
        <v>280</v>
      </c>
      <c r="H10" s="13">
        <f>Tabelle11[[#This Row],[Selling Price]]-Tabelle11[[#This Row],[Supplier Price]]</f>
        <v>96.480000000000018</v>
      </c>
      <c r="I10" s="14">
        <f>Tabelle11[[#This Row],[Profit Margin]]/Tabelle11[[#This Row],[Selling Price]]</f>
        <v>0.25626859328516793</v>
      </c>
      <c r="J10" s="15">
        <f>Tabelle11[[#This Row],[Amount Sold]]*Tabelle11[[#This Row],[Selling Price]]</f>
        <v>489424</v>
      </c>
      <c r="K10" s="15">
        <f>Tabelle11[[#This Row],[Amount Bought]]*Tabelle11[[#This Row],[Supplier Price]]</f>
        <v>724360</v>
      </c>
      <c r="L10" s="15">
        <f>Tabelle11[[#This Row],[Revenue]]-Tabelle11[[#This Row],[Expenses]] + Tabelle11[[#This Row],[Biofuel Revenue]]</f>
        <v>-144846</v>
      </c>
      <c r="M10" s="39">
        <f>Tabelle11[[#This Row],[Amount Expired]]*Tabelle11[[#This Row],[Supplier Price]]*0.25</f>
        <v>90090</v>
      </c>
    </row>
    <row r="11" spans="1:13" x14ac:dyDescent="0.3">
      <c r="A11" s="11">
        <v>3</v>
      </c>
      <c r="B11" s="10" t="s">
        <v>10</v>
      </c>
      <c r="C11" s="11">
        <v>2993</v>
      </c>
      <c r="D11" s="11">
        <v>2993</v>
      </c>
      <c r="E11" s="12">
        <v>22.11</v>
      </c>
      <c r="F11" s="6">
        <f t="shared" si="0"/>
        <v>0</v>
      </c>
      <c r="G11" s="26">
        <v>16</v>
      </c>
      <c r="H11" s="13">
        <f>Tabelle11[[#This Row],[Selling Price]]-Tabelle11[[#This Row],[Supplier Price]]</f>
        <v>6.1099999999999994</v>
      </c>
      <c r="I11" s="14">
        <f>Tabelle11[[#This Row],[Profit Margin]]/Tabelle11[[#This Row],[Selling Price]]</f>
        <v>0.27634554500226138</v>
      </c>
      <c r="J11" s="15">
        <f>Tabelle11[[#This Row],[Amount Sold]]*Tabelle11[[#This Row],[Selling Price]]</f>
        <v>66175.23</v>
      </c>
      <c r="K11" s="15">
        <f>Tabelle11[[#This Row],[Amount Bought]]*Tabelle11[[#This Row],[Supplier Price]]</f>
        <v>47888</v>
      </c>
      <c r="L11" s="15">
        <f>Tabelle11[[#This Row],[Revenue]]-Tabelle11[[#This Row],[Expenses]] + Tabelle11[[#This Row],[Biofuel Revenue]]</f>
        <v>18287.229999999996</v>
      </c>
      <c r="M11" s="39">
        <f>Tabelle11[[#This Row],[Amount Expired]]*Tabelle11[[#This Row],[Supplier Price]]*0.25</f>
        <v>0</v>
      </c>
    </row>
    <row r="12" spans="1:13" x14ac:dyDescent="0.3">
      <c r="A12" s="11">
        <v>3</v>
      </c>
      <c r="B12" s="10" t="s">
        <v>2</v>
      </c>
      <c r="C12" s="11">
        <v>2764</v>
      </c>
      <c r="D12" s="11">
        <v>2764</v>
      </c>
      <c r="E12" s="12">
        <v>7.81</v>
      </c>
      <c r="F12" s="6">
        <f t="shared" si="0"/>
        <v>0</v>
      </c>
      <c r="G12" s="26">
        <v>6</v>
      </c>
      <c r="H12" s="13">
        <f>Tabelle11[[#This Row],[Selling Price]]-Tabelle11[[#This Row],[Supplier Price]]</f>
        <v>1.8099999999999996</v>
      </c>
      <c r="I12" s="14">
        <f>Tabelle11[[#This Row],[Profit Margin]]/Tabelle11[[#This Row],[Selling Price]]</f>
        <v>0.23175416133162607</v>
      </c>
      <c r="J12" s="15">
        <f>Tabelle11[[#This Row],[Amount Sold]]*Tabelle11[[#This Row],[Selling Price]]</f>
        <v>21586.84</v>
      </c>
      <c r="K12" s="15">
        <f>Tabelle11[[#This Row],[Amount Bought]]*Tabelle11[[#This Row],[Supplier Price]]</f>
        <v>16584</v>
      </c>
      <c r="L12" s="15">
        <f>Tabelle11[[#This Row],[Revenue]]-Tabelle11[[#This Row],[Expenses]] + Tabelle11[[#This Row],[Biofuel Revenue]]</f>
        <v>5002.84</v>
      </c>
      <c r="M12" s="39">
        <f>Tabelle11[[#This Row],[Amount Expired]]*Tabelle11[[#This Row],[Supplier Price]]*0.25</f>
        <v>0</v>
      </c>
    </row>
    <row r="13" spans="1:13" x14ac:dyDescent="0.3">
      <c r="A13" s="11">
        <v>3</v>
      </c>
      <c r="B13" s="10" t="s">
        <v>1</v>
      </c>
      <c r="C13" s="11">
        <v>1785</v>
      </c>
      <c r="D13" s="11">
        <v>1785</v>
      </c>
      <c r="E13" s="12">
        <v>20.75</v>
      </c>
      <c r="F13" s="6">
        <f t="shared" si="0"/>
        <v>0</v>
      </c>
      <c r="G13" s="26">
        <v>15</v>
      </c>
      <c r="H13" s="13">
        <f>Tabelle11[[#This Row],[Selling Price]]-Tabelle11[[#This Row],[Supplier Price]]</f>
        <v>5.75</v>
      </c>
      <c r="I13" s="14">
        <f>Tabelle11[[#This Row],[Profit Margin]]/Tabelle11[[#This Row],[Selling Price]]</f>
        <v>0.27710843373493976</v>
      </c>
      <c r="J13" s="15">
        <f>Tabelle11[[#This Row],[Amount Sold]]*Tabelle11[[#This Row],[Selling Price]]</f>
        <v>37038.75</v>
      </c>
      <c r="K13" s="15">
        <f>Tabelle11[[#This Row],[Amount Bought]]*Tabelle11[[#This Row],[Supplier Price]]</f>
        <v>26775</v>
      </c>
      <c r="L13" s="15">
        <f>Tabelle11[[#This Row],[Revenue]]-Tabelle11[[#This Row],[Expenses]] + Tabelle11[[#This Row],[Biofuel Revenue]]</f>
        <v>10263.75</v>
      </c>
      <c r="M13" s="39">
        <f>Tabelle11[[#This Row],[Amount Expired]]*Tabelle11[[#This Row],[Supplier Price]]*0.25</f>
        <v>0</v>
      </c>
    </row>
    <row r="14" spans="1:13" x14ac:dyDescent="0.3">
      <c r="A14" s="11">
        <v>3</v>
      </c>
      <c r="B14" s="10" t="s">
        <v>5</v>
      </c>
      <c r="C14" s="11">
        <v>1167</v>
      </c>
      <c r="D14" s="11">
        <v>3440</v>
      </c>
      <c r="E14" s="12">
        <v>51.8</v>
      </c>
      <c r="F14" s="6">
        <f t="shared" si="0"/>
        <v>2273</v>
      </c>
      <c r="G14" s="27">
        <v>35</v>
      </c>
      <c r="H14" s="13">
        <f>Tabelle11[[#This Row],[Selling Price]]-Tabelle11[[#This Row],[Supplier Price]]</f>
        <v>16.799999999999997</v>
      </c>
      <c r="I14" s="14">
        <f>Tabelle11[[#This Row],[Profit Margin]]/Tabelle11[[#This Row],[Selling Price]]</f>
        <v>0.32432432432432429</v>
      </c>
      <c r="J14" s="15">
        <f>Tabelle11[[#This Row],[Amount Sold]]*Tabelle11[[#This Row],[Selling Price]]</f>
        <v>60450.6</v>
      </c>
      <c r="K14" s="15">
        <f>Tabelle11[[#This Row],[Amount Bought]]*Tabelle11[[#This Row],[Supplier Price]]</f>
        <v>120400</v>
      </c>
      <c r="L14" s="15">
        <f>Tabelle11[[#This Row],[Revenue]]-Tabelle11[[#This Row],[Expenses]] + Tabelle11[[#This Row],[Biofuel Revenue]]</f>
        <v>-40060.65</v>
      </c>
      <c r="M14" s="39">
        <f>Tabelle11[[#This Row],[Amount Expired]]*Tabelle11[[#This Row],[Supplier Price]]*0.25</f>
        <v>19888.75</v>
      </c>
    </row>
    <row r="15" spans="1:13" x14ac:dyDescent="0.3">
      <c r="A15" s="11"/>
      <c r="B15" s="10"/>
      <c r="C15" s="11"/>
      <c r="D15" s="11"/>
      <c r="E15" s="12"/>
      <c r="F15" s="6"/>
      <c r="G15" s="28"/>
      <c r="H15" s="13"/>
      <c r="I15" s="14"/>
      <c r="J15" s="15">
        <f>SUM(Tabelle11[Revenue])</f>
        <v>1302257.3800000001</v>
      </c>
      <c r="K15" s="15">
        <f>SUM(Tabelle11[Expenses])</f>
        <v>1746207</v>
      </c>
      <c r="L15" s="15">
        <f>SUM(Tabelle11[Profit])</f>
        <v>-243644.37</v>
      </c>
      <c r="M15" s="6"/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50CB-99BC-4DFC-B974-04AE43DA417B}">
  <dimension ref="A1:M25"/>
  <sheetViews>
    <sheetView tabSelected="1" zoomScale="93" zoomScaleNormal="100" workbookViewId="0">
      <selection activeCell="I27" sqref="I27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5.6640625" bestFit="1" customWidth="1"/>
    <col min="4" max="4" width="13.7773437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4.77734375" bestFit="1" customWidth="1"/>
    <col min="9" max="9" width="15.21875" bestFit="1" customWidth="1"/>
    <col min="10" max="11" width="17.77734375" bestFit="1" customWidth="1"/>
    <col min="12" max="12" width="16" bestFit="1" customWidth="1"/>
    <col min="13" max="13" width="15.44140625" bestFit="1" customWidth="1"/>
  </cols>
  <sheetData>
    <row r="1" spans="1:13" x14ac:dyDescent="0.3">
      <c r="A1" t="s">
        <v>0</v>
      </c>
      <c r="B1" t="s">
        <v>16</v>
      </c>
      <c r="C1" t="s">
        <v>15</v>
      </c>
      <c r="D1" t="s">
        <v>20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  <c r="M1" t="s">
        <v>70</v>
      </c>
    </row>
    <row r="2" spans="1:13" x14ac:dyDescent="0.3">
      <c r="A2" s="1">
        <v>4</v>
      </c>
      <c r="B2" s="5" t="s">
        <v>9</v>
      </c>
      <c r="C2" s="1">
        <v>3266</v>
      </c>
      <c r="D2" s="1">
        <v>3266</v>
      </c>
      <c r="E2" s="8">
        <v>16.420000000000002</v>
      </c>
      <c r="F2">
        <f>Tabelle1[[#This Row],[Amount Bought]]-Tabelle1[[#This Row],[Amount Sold]]</f>
        <v>0</v>
      </c>
      <c r="G2" s="2">
        <v>12</v>
      </c>
      <c r="H2" s="3">
        <f t="shared" ref="H2:H14" si="0">E2-G2</f>
        <v>4.4200000000000017</v>
      </c>
      <c r="I2" s="4">
        <f t="shared" ref="I2:I14" si="1">H2/E2</f>
        <v>0.26918392204628511</v>
      </c>
      <c r="J2" s="7">
        <f>Tabelle1[[#This Row],[Amount Sold]]*Tabelle1[[#This Row],[Selling Price]]</f>
        <v>53627.720000000008</v>
      </c>
      <c r="K2" s="7">
        <f>Tabelle1[[#This Row],[Amount Bought]]*Tabelle1[[#This Row],[Supplier Price]]</f>
        <v>39192</v>
      </c>
      <c r="L2" s="7">
        <f>Tabelle1[[#This Row],[Revenue]]-Tabelle1[[#This Row],[Expenses]]+Tabelle1[[#This Row],[Biofuel Revenue]]</f>
        <v>14435.720000000008</v>
      </c>
      <c r="M2" s="7">
        <f>Tabelle1[[#This Row],[Amount Expired]]*Tabelle1[[#This Row],[Supplier Price]]*0.25</f>
        <v>0</v>
      </c>
    </row>
    <row r="3" spans="1:13" x14ac:dyDescent="0.3">
      <c r="A3" s="1">
        <v>4</v>
      </c>
      <c r="B3" s="5" t="s">
        <v>6</v>
      </c>
      <c r="C3" s="1">
        <v>800</v>
      </c>
      <c r="D3" s="1">
        <v>2</v>
      </c>
      <c r="E3" s="8">
        <v>85.75</v>
      </c>
      <c r="F3">
        <f>Tabelle1[[#This Row],[Amount Bought]]-Tabelle1[[#This Row],[Amount Sold]]</f>
        <v>798</v>
      </c>
      <c r="G3" s="2">
        <v>65</v>
      </c>
      <c r="H3" s="3">
        <f t="shared" si="0"/>
        <v>20.75</v>
      </c>
      <c r="I3" s="4">
        <f t="shared" si="1"/>
        <v>0.24198250728862974</v>
      </c>
      <c r="J3" s="7">
        <f>Tabelle1[[#This Row],[Amount Sold]]*Tabelle1[[#This Row],[Selling Price]]</f>
        <v>171.5</v>
      </c>
      <c r="K3" s="7">
        <f>Tabelle1[[#This Row],[Amount Bought]]*Tabelle1[[#This Row],[Supplier Price]]</f>
        <v>52000</v>
      </c>
      <c r="L3" s="7">
        <f>Tabelle1[[#This Row],[Revenue]]-Tabelle1[[#This Row],[Expenses]]+Tabelle1[[#This Row],[Biofuel Revenue]]</f>
        <v>-38861</v>
      </c>
      <c r="M3" s="7">
        <f>Tabelle1[[#This Row],[Amount Expired]]*Tabelle1[[#This Row],[Supplier Price]]*0.25</f>
        <v>12967.5</v>
      </c>
    </row>
    <row r="4" spans="1:13" x14ac:dyDescent="0.3">
      <c r="A4" s="1">
        <v>4</v>
      </c>
      <c r="B4" s="5" t="s">
        <v>8</v>
      </c>
      <c r="C4" s="1">
        <v>70</v>
      </c>
      <c r="D4" s="1">
        <v>70</v>
      </c>
      <c r="E4" s="8">
        <v>849.1</v>
      </c>
      <c r="F4">
        <f>Tabelle1[[#This Row],[Amount Bought]]-Tabelle1[[#This Row],[Amount Sold]]</f>
        <v>0</v>
      </c>
      <c r="G4" s="2">
        <v>580</v>
      </c>
      <c r="H4" s="3">
        <f t="shared" si="0"/>
        <v>269.10000000000002</v>
      </c>
      <c r="I4" s="4">
        <f t="shared" si="1"/>
        <v>0.31692380167235901</v>
      </c>
      <c r="J4" s="7">
        <f>Tabelle1[[#This Row],[Amount Sold]]*Tabelle1[[#This Row],[Selling Price]]</f>
        <v>59437</v>
      </c>
      <c r="K4" s="7">
        <f>Tabelle1[[#This Row],[Amount Bought]]*Tabelle1[[#This Row],[Supplier Price]]</f>
        <v>40600</v>
      </c>
      <c r="L4" s="7">
        <f>Tabelle1[[#This Row],[Revenue]]-Tabelle1[[#This Row],[Expenses]]+Tabelle1[[#This Row],[Biofuel Revenue]]</f>
        <v>18837</v>
      </c>
      <c r="M4" s="7">
        <f>Tabelle1[[#This Row],[Amount Expired]]*Tabelle1[[#This Row],[Supplier Price]]*0.25</f>
        <v>0</v>
      </c>
    </row>
    <row r="5" spans="1:13" x14ac:dyDescent="0.3">
      <c r="A5" s="1">
        <v>4</v>
      </c>
      <c r="B5" s="5" t="s">
        <v>11</v>
      </c>
      <c r="C5" s="1">
        <v>2144</v>
      </c>
      <c r="D5" s="1">
        <v>2144</v>
      </c>
      <c r="E5" s="8">
        <v>65.650000000000006</v>
      </c>
      <c r="F5">
        <f>Tabelle1[[#This Row],[Amount Bought]]-Tabelle1[[#This Row],[Amount Sold]]</f>
        <v>0</v>
      </c>
      <c r="G5" s="2">
        <v>45</v>
      </c>
      <c r="H5" s="3">
        <f t="shared" si="0"/>
        <v>20.650000000000006</v>
      </c>
      <c r="I5" s="4">
        <f t="shared" si="1"/>
        <v>0.3145468392993146</v>
      </c>
      <c r="J5" s="7">
        <f>Tabelle1[[#This Row],[Amount Sold]]*Tabelle1[[#This Row],[Selling Price]]</f>
        <v>140753.60000000001</v>
      </c>
      <c r="K5" s="7">
        <f>Tabelle1[[#This Row],[Amount Bought]]*Tabelle1[[#This Row],[Supplier Price]]</f>
        <v>96480</v>
      </c>
      <c r="L5" s="7">
        <f>Tabelle1[[#This Row],[Revenue]]-Tabelle1[[#This Row],[Expenses]]+Tabelle1[[#This Row],[Biofuel Revenue]]</f>
        <v>44273.600000000006</v>
      </c>
      <c r="M5" s="7">
        <f>Tabelle1[[#This Row],[Amount Expired]]*Tabelle1[[#This Row],[Supplier Price]]*0.25</f>
        <v>0</v>
      </c>
    </row>
    <row r="6" spans="1:13" x14ac:dyDescent="0.3">
      <c r="A6" s="1">
        <v>4</v>
      </c>
      <c r="B6" s="5" t="s">
        <v>4</v>
      </c>
      <c r="C6" s="1">
        <v>2500</v>
      </c>
      <c r="D6" s="1">
        <v>2500</v>
      </c>
      <c r="E6" s="8">
        <v>24.99</v>
      </c>
      <c r="F6">
        <f>Tabelle1[[#This Row],[Amount Bought]]-Tabelle1[[#This Row],[Amount Sold]]</f>
        <v>0</v>
      </c>
      <c r="G6" s="2">
        <v>18</v>
      </c>
      <c r="H6" s="3">
        <f t="shared" si="0"/>
        <v>6.9899999999999984</v>
      </c>
      <c r="I6" s="4">
        <f t="shared" si="1"/>
        <v>0.27971188475390152</v>
      </c>
      <c r="J6" s="7">
        <f>Tabelle1[[#This Row],[Amount Sold]]*Tabelle1[[#This Row],[Selling Price]]</f>
        <v>62474.999999999993</v>
      </c>
      <c r="K6" s="7">
        <f>Tabelle1[[#This Row],[Amount Bought]]*Tabelle1[[#This Row],[Supplier Price]]</f>
        <v>45000</v>
      </c>
      <c r="L6" s="7">
        <f>Tabelle1[[#This Row],[Revenue]]-Tabelle1[[#This Row],[Expenses]]+Tabelle1[[#This Row],[Biofuel Revenue]]</f>
        <v>17474.999999999993</v>
      </c>
      <c r="M6" s="7">
        <f>Tabelle1[[#This Row],[Amount Expired]]*Tabelle1[[#This Row],[Supplier Price]]*0.25</f>
        <v>0</v>
      </c>
    </row>
    <row r="7" spans="1:13" x14ac:dyDescent="0.3">
      <c r="A7" s="1">
        <v>4</v>
      </c>
      <c r="B7" s="5" t="s">
        <v>3</v>
      </c>
      <c r="C7" s="1">
        <v>2701</v>
      </c>
      <c r="D7" s="1">
        <v>2701</v>
      </c>
      <c r="E7" s="8">
        <v>10.93</v>
      </c>
      <c r="F7">
        <f>Tabelle1[[#This Row],[Amount Bought]]-Tabelle1[[#This Row],[Amount Sold]]</f>
        <v>0</v>
      </c>
      <c r="G7" s="2">
        <v>8</v>
      </c>
      <c r="H7" s="3">
        <f t="shared" si="0"/>
        <v>2.9299999999999997</v>
      </c>
      <c r="I7" s="4">
        <f t="shared" si="1"/>
        <v>0.26806953339432754</v>
      </c>
      <c r="J7" s="7">
        <f>Tabelle1[[#This Row],[Amount Sold]]*Tabelle1[[#This Row],[Selling Price]]</f>
        <v>29521.93</v>
      </c>
      <c r="K7" s="7">
        <f>Tabelle1[[#This Row],[Amount Bought]]*Tabelle1[[#This Row],[Supplier Price]]</f>
        <v>21608</v>
      </c>
      <c r="L7" s="7">
        <f>Tabelle1[[#This Row],[Revenue]]-Tabelle1[[#This Row],[Expenses]]+Tabelle1[[#This Row],[Biofuel Revenue]]</f>
        <v>7913.93</v>
      </c>
      <c r="M7" s="7">
        <f>Tabelle1[[#This Row],[Amount Expired]]*Tabelle1[[#This Row],[Supplier Price]]*0.25</f>
        <v>0</v>
      </c>
    </row>
    <row r="8" spans="1:13" x14ac:dyDescent="0.3">
      <c r="A8" s="1">
        <v>4</v>
      </c>
      <c r="B8" s="5" t="s">
        <v>12</v>
      </c>
      <c r="C8" s="1">
        <v>2305</v>
      </c>
      <c r="D8" s="1">
        <v>2305</v>
      </c>
      <c r="E8" s="8">
        <v>49.97</v>
      </c>
      <c r="F8">
        <f>Tabelle1[[#This Row],[Amount Bought]]-Tabelle1[[#This Row],[Amount Sold]]</f>
        <v>0</v>
      </c>
      <c r="G8" s="2">
        <v>38</v>
      </c>
      <c r="H8" s="3">
        <f t="shared" si="0"/>
        <v>11.969999999999999</v>
      </c>
      <c r="I8" s="4">
        <f t="shared" si="1"/>
        <v>0.23954372623574144</v>
      </c>
      <c r="J8" s="7">
        <f>Tabelle1[[#This Row],[Amount Sold]]*Tabelle1[[#This Row],[Selling Price]]</f>
        <v>115180.84999999999</v>
      </c>
      <c r="K8" s="7">
        <f>Tabelle1[[#This Row],[Amount Bought]]*Tabelle1[[#This Row],[Supplier Price]]</f>
        <v>87590</v>
      </c>
      <c r="L8" s="7">
        <f>Tabelle1[[#This Row],[Revenue]]-Tabelle1[[#This Row],[Expenses]]+Tabelle1[[#This Row],[Biofuel Revenue]]</f>
        <v>27590.849999999991</v>
      </c>
      <c r="M8" s="7">
        <f>Tabelle1[[#This Row],[Amount Expired]]*Tabelle1[[#This Row],[Supplier Price]]*0.25</f>
        <v>0</v>
      </c>
    </row>
    <row r="9" spans="1:13" x14ac:dyDescent="0.3">
      <c r="A9" s="1">
        <v>4</v>
      </c>
      <c r="B9" s="5" t="s">
        <v>7</v>
      </c>
      <c r="C9" s="1">
        <v>3340</v>
      </c>
      <c r="D9" s="1">
        <v>3340</v>
      </c>
      <c r="E9" s="8">
        <v>296.26</v>
      </c>
      <c r="F9">
        <f>Tabelle1[[#This Row],[Amount Bought]]-Tabelle1[[#This Row],[Amount Sold]]</f>
        <v>0</v>
      </c>
      <c r="G9" s="2">
        <v>220</v>
      </c>
      <c r="H9" s="3">
        <f t="shared" si="0"/>
        <v>76.259999999999991</v>
      </c>
      <c r="I9" s="4">
        <f t="shared" si="1"/>
        <v>0.25740903260649428</v>
      </c>
      <c r="J9" s="7">
        <f>Tabelle1[[#This Row],[Amount Sold]]*Tabelle1[[#This Row],[Selling Price]]</f>
        <v>989508.4</v>
      </c>
      <c r="K9" s="7">
        <f>Tabelle1[[#This Row],[Amount Bought]]*Tabelle1[[#This Row],[Supplier Price]]</f>
        <v>734800</v>
      </c>
      <c r="L9" s="7">
        <f>Tabelle1[[#This Row],[Revenue]]-Tabelle1[[#This Row],[Expenses]]+Tabelle1[[#This Row],[Biofuel Revenue]]</f>
        <v>254708.40000000002</v>
      </c>
      <c r="M9" s="7">
        <f>Tabelle1[[#This Row],[Amount Expired]]*Tabelle1[[#This Row],[Supplier Price]]*0.25</f>
        <v>0</v>
      </c>
    </row>
    <row r="10" spans="1:13" x14ac:dyDescent="0.3">
      <c r="A10" s="1">
        <v>4</v>
      </c>
      <c r="B10" s="5" t="s">
        <v>13</v>
      </c>
      <c r="C10" s="1">
        <v>800</v>
      </c>
      <c r="D10" s="1">
        <v>800</v>
      </c>
      <c r="E10" s="8">
        <v>376.48</v>
      </c>
      <c r="F10">
        <f>Tabelle1[[#This Row],[Amount Bought]]-Tabelle1[[#This Row],[Amount Sold]]</f>
        <v>0</v>
      </c>
      <c r="G10" s="2">
        <v>280</v>
      </c>
      <c r="H10" s="3">
        <f t="shared" si="0"/>
        <v>96.480000000000018</v>
      </c>
      <c r="I10" s="4">
        <f t="shared" si="1"/>
        <v>0.25626859328516793</v>
      </c>
      <c r="J10" s="7">
        <f>Tabelle1[[#This Row],[Amount Sold]]*Tabelle1[[#This Row],[Selling Price]]</f>
        <v>301184</v>
      </c>
      <c r="K10" s="7">
        <f>Tabelle1[[#This Row],[Amount Bought]]*Tabelle1[[#This Row],[Supplier Price]]</f>
        <v>224000</v>
      </c>
      <c r="L10" s="7">
        <f>Tabelle1[[#This Row],[Revenue]]-Tabelle1[[#This Row],[Expenses]]+Tabelle1[[#This Row],[Biofuel Revenue]]</f>
        <v>77184</v>
      </c>
      <c r="M10" s="7">
        <f>Tabelle1[[#This Row],[Amount Expired]]*Tabelle1[[#This Row],[Supplier Price]]*0.25</f>
        <v>0</v>
      </c>
    </row>
    <row r="11" spans="1:13" x14ac:dyDescent="0.3">
      <c r="A11" s="1">
        <v>4</v>
      </c>
      <c r="B11" s="5" t="s">
        <v>10</v>
      </c>
      <c r="C11" s="1">
        <v>3500</v>
      </c>
      <c r="D11" s="1">
        <v>3500</v>
      </c>
      <c r="E11" s="8">
        <v>21.9</v>
      </c>
      <c r="F11">
        <f>Tabelle1[[#This Row],[Amount Bought]]-Tabelle1[[#This Row],[Amount Sold]]</f>
        <v>0</v>
      </c>
      <c r="G11" s="2">
        <v>16</v>
      </c>
      <c r="H11" s="3">
        <f t="shared" si="0"/>
        <v>5.8999999999999986</v>
      </c>
      <c r="I11" s="4">
        <f t="shared" si="1"/>
        <v>0.26940639269406386</v>
      </c>
      <c r="J11" s="7">
        <f>Tabelle1[[#This Row],[Amount Sold]]*Tabelle1[[#This Row],[Selling Price]]</f>
        <v>76650</v>
      </c>
      <c r="K11" s="7">
        <f>Tabelle1[[#This Row],[Amount Bought]]*Tabelle1[[#This Row],[Supplier Price]]</f>
        <v>56000</v>
      </c>
      <c r="L11" s="7">
        <f>Tabelle1[[#This Row],[Revenue]]-Tabelle1[[#This Row],[Expenses]]+Tabelle1[[#This Row],[Biofuel Revenue]]</f>
        <v>20650</v>
      </c>
      <c r="M11" s="7">
        <f>Tabelle1[[#This Row],[Amount Expired]]*Tabelle1[[#This Row],[Supplier Price]]*0.25</f>
        <v>0</v>
      </c>
    </row>
    <row r="12" spans="1:13" x14ac:dyDescent="0.3">
      <c r="A12" s="1">
        <v>4</v>
      </c>
      <c r="B12" s="5" t="s">
        <v>2</v>
      </c>
      <c r="C12" s="1">
        <v>2448</v>
      </c>
      <c r="D12" s="1">
        <v>2448</v>
      </c>
      <c r="E12" s="8">
        <v>8.25</v>
      </c>
      <c r="F12">
        <f>Tabelle1[[#This Row],[Amount Bought]]-Tabelle1[[#This Row],[Amount Sold]]</f>
        <v>0</v>
      </c>
      <c r="G12" s="2">
        <v>6</v>
      </c>
      <c r="H12" s="3">
        <f t="shared" si="0"/>
        <v>2.25</v>
      </c>
      <c r="I12" s="4">
        <f t="shared" si="1"/>
        <v>0.27272727272727271</v>
      </c>
      <c r="J12" s="7">
        <f>Tabelle1[[#This Row],[Amount Sold]]*Tabelle1[[#This Row],[Selling Price]]</f>
        <v>20196</v>
      </c>
      <c r="K12" s="7">
        <f>Tabelle1[[#This Row],[Amount Bought]]*Tabelle1[[#This Row],[Supplier Price]]</f>
        <v>14688</v>
      </c>
      <c r="L12" s="7">
        <f>Tabelle1[[#This Row],[Revenue]]-Tabelle1[[#This Row],[Expenses]]+Tabelle1[[#This Row],[Biofuel Revenue]]</f>
        <v>5508</v>
      </c>
      <c r="M12" s="7">
        <f>Tabelle1[[#This Row],[Amount Expired]]*Tabelle1[[#This Row],[Supplier Price]]*0.25</f>
        <v>0</v>
      </c>
    </row>
    <row r="13" spans="1:13" x14ac:dyDescent="0.3">
      <c r="A13" s="1">
        <v>4</v>
      </c>
      <c r="B13" t="s">
        <v>1</v>
      </c>
      <c r="C13" s="1">
        <v>3400</v>
      </c>
      <c r="D13" s="1">
        <v>3400</v>
      </c>
      <c r="E13" s="8">
        <v>21.54</v>
      </c>
      <c r="F13">
        <f>Tabelle1[[#This Row],[Amount Bought]]-Tabelle1[[#This Row],[Amount Sold]]</f>
        <v>0</v>
      </c>
      <c r="G13" s="2">
        <v>15</v>
      </c>
      <c r="H13" s="3">
        <f t="shared" si="0"/>
        <v>6.5399999999999991</v>
      </c>
      <c r="I13" s="4">
        <f t="shared" si="1"/>
        <v>0.30362116991643451</v>
      </c>
      <c r="J13" s="7">
        <f>Tabelle1[[#This Row],[Amount Sold]]*Tabelle1[[#This Row],[Selling Price]]</f>
        <v>73236</v>
      </c>
      <c r="K13" s="7">
        <f>Tabelle1[[#This Row],[Amount Bought]]*Tabelle1[[#This Row],[Supplier Price]]</f>
        <v>51000</v>
      </c>
      <c r="L13" s="7">
        <f>Tabelle1[[#This Row],[Revenue]]-Tabelle1[[#This Row],[Expenses]]+Tabelle1[[#This Row],[Biofuel Revenue]]</f>
        <v>22236</v>
      </c>
      <c r="M13" s="7">
        <f>Tabelle1[[#This Row],[Amount Expired]]*Tabelle1[[#This Row],[Supplier Price]]*0.25</f>
        <v>0</v>
      </c>
    </row>
    <row r="14" spans="1:13" x14ac:dyDescent="0.3">
      <c r="A14" s="1">
        <v>4</v>
      </c>
      <c r="B14" s="5" t="s">
        <v>5</v>
      </c>
      <c r="C14" s="1">
        <v>2950</v>
      </c>
      <c r="D14" s="1">
        <v>2950</v>
      </c>
      <c r="E14" s="8">
        <v>47.76</v>
      </c>
      <c r="F14">
        <f>Tabelle1[[#This Row],[Amount Bought]]-Tabelle1[[#This Row],[Amount Sold]]</f>
        <v>0</v>
      </c>
      <c r="G14" s="2">
        <v>35</v>
      </c>
      <c r="H14" s="3">
        <f t="shared" si="0"/>
        <v>12.759999999999998</v>
      </c>
      <c r="I14" s="4">
        <f t="shared" si="1"/>
        <v>0.26716917922948069</v>
      </c>
      <c r="J14" s="7">
        <f>Tabelle1[[#This Row],[Amount Sold]]*Tabelle1[[#This Row],[Selling Price]]</f>
        <v>140892</v>
      </c>
      <c r="K14" s="7">
        <f>Tabelle1[[#This Row],[Amount Bought]]*Tabelle1[[#This Row],[Supplier Price]]</f>
        <v>103250</v>
      </c>
      <c r="L14" s="7">
        <f>Tabelle1[[#This Row],[Revenue]]-Tabelle1[[#This Row],[Expenses]]+Tabelle1[[#This Row],[Biofuel Revenue]]</f>
        <v>37642</v>
      </c>
      <c r="M14" s="7">
        <f>Tabelle1[[#This Row],[Amount Expired]]*Tabelle1[[#This Row],[Supplier Price]]*0.25</f>
        <v>0</v>
      </c>
    </row>
    <row r="15" spans="1:13" x14ac:dyDescent="0.3">
      <c r="A15" s="1" t="s">
        <v>18</v>
      </c>
      <c r="B15" s="5"/>
      <c r="C15">
        <f>SUM(Tabelle1[Amount Bought])</f>
        <v>30224</v>
      </c>
      <c r="D15" s="1">
        <f>SUM(Tabelle1[Amount Sold])</f>
        <v>29426</v>
      </c>
      <c r="E15" s="2"/>
      <c r="F15">
        <f>SUM(Tabelle1[Amount Expired])</f>
        <v>798</v>
      </c>
      <c r="G15" s="1"/>
      <c r="H15" s="3"/>
      <c r="I15" s="4"/>
      <c r="J15" s="7">
        <f>SUM(Tabelle1[Revenue])</f>
        <v>2062834</v>
      </c>
      <c r="K15" s="7">
        <f>SUM(Tabelle1[Expenses])</f>
        <v>1566208</v>
      </c>
      <c r="L15" s="7">
        <f>SUM(Tabelle1[Profit])</f>
        <v>509593.5</v>
      </c>
      <c r="M15" s="7">
        <f>SUBTOTAL(109,Tabelle1[Biofuel Revenue])</f>
        <v>12967.5</v>
      </c>
    </row>
    <row r="17" spans="8:13" x14ac:dyDescent="0.3">
      <c r="L17" s="7"/>
      <c r="M17" s="7"/>
    </row>
    <row r="18" spans="8:13" x14ac:dyDescent="0.3">
      <c r="H18" t="s">
        <v>30</v>
      </c>
      <c r="I18" s="29">
        <f>J18-salaries!B32</f>
        <v>-378958.46786901419</v>
      </c>
      <c r="J18" s="29">
        <f>week0!L15</f>
        <v>-177660.80999999997</v>
      </c>
    </row>
    <row r="19" spans="8:13" x14ac:dyDescent="0.3">
      <c r="H19" t="s">
        <v>31</v>
      </c>
      <c r="I19" s="29">
        <f>J19-salaries!B32</f>
        <v>-634733.36786901427</v>
      </c>
      <c r="J19" s="29">
        <f>week1!L15</f>
        <v>-433435.71</v>
      </c>
    </row>
    <row r="20" spans="8:13" x14ac:dyDescent="0.3">
      <c r="H20" t="s">
        <v>32</v>
      </c>
      <c r="I20" s="29">
        <f>J20-salaries!B32</f>
        <v>-1599370.0078690141</v>
      </c>
      <c r="J20" s="29">
        <f>week2!L15</f>
        <v>-1398072.3499999999</v>
      </c>
    </row>
    <row r="21" spans="8:13" x14ac:dyDescent="0.3">
      <c r="H21" t="s">
        <v>33</v>
      </c>
      <c r="I21" s="29">
        <f>J21-salaries!B32</f>
        <v>-444942.02786901419</v>
      </c>
      <c r="J21" s="29">
        <f>week3!L15</f>
        <v>-243644.37</v>
      </c>
    </row>
    <row r="22" spans="8:13" x14ac:dyDescent="0.3">
      <c r="H22" t="s">
        <v>34</v>
      </c>
      <c r="I22" s="29">
        <f>J22-salaries!B32</f>
        <v>308295.84213098581</v>
      </c>
      <c r="J22" s="29">
        <f>Tabelle1[[#Totals],[Profit]]</f>
        <v>509593.5</v>
      </c>
    </row>
    <row r="23" spans="8:13" x14ac:dyDescent="0.3">
      <c r="H23" t="s">
        <v>35</v>
      </c>
      <c r="I23" s="29">
        <f>J23-salaries!B32</f>
        <v>314909.19213098579</v>
      </c>
      <c r="J23" s="29">
        <f>week5!L15</f>
        <v>516206.85000000003</v>
      </c>
    </row>
    <row r="24" spans="8:13" x14ac:dyDescent="0.3">
      <c r="H24" t="s">
        <v>68</v>
      </c>
      <c r="I24" s="29">
        <f>J24-salaries!B32</f>
        <v>266843.31213098578</v>
      </c>
      <c r="J24" s="29">
        <f>week6!L15</f>
        <v>468140.97</v>
      </c>
    </row>
    <row r="25" spans="8:13" x14ac:dyDescent="0.3">
      <c r="H25" t="s">
        <v>69</v>
      </c>
      <c r="I25" s="29">
        <f>J25-salaries!B32</f>
        <v>279778.51213098573</v>
      </c>
      <c r="J25" s="29">
        <f>week7!K15</f>
        <v>481076.17</v>
      </c>
    </row>
  </sheetData>
  <phoneticPr fontId="3" type="noConversion"/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F4B9-AE14-4F1B-885C-64F123ED62B5}">
  <dimension ref="A1:M15"/>
  <sheetViews>
    <sheetView workbookViewId="0">
      <selection activeCell="L16" sqref="L16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3.6640625" bestFit="1" customWidth="1"/>
    <col min="9" max="9" width="15.21875" bestFit="1" customWidth="1"/>
    <col min="10" max="11" width="13.6640625" bestFit="1" customWidth="1"/>
    <col min="12" max="12" width="12.109375" bestFit="1" customWidth="1"/>
    <col min="13" max="13" width="16.33203125" bestFit="1" customWidth="1"/>
  </cols>
  <sheetData>
    <row r="1" spans="1:13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  <c r="M1" t="s">
        <v>70</v>
      </c>
    </row>
    <row r="2" spans="1:13" x14ac:dyDescent="0.3">
      <c r="A2">
        <v>5</v>
      </c>
      <c r="B2" t="s">
        <v>9</v>
      </c>
      <c r="C2">
        <v>6500</v>
      </c>
      <c r="D2">
        <v>6500</v>
      </c>
      <c r="E2" s="29">
        <v>16.420000000000002</v>
      </c>
      <c r="F2">
        <f>Tabelle2[[#This Row],[Amount Bought]]-Tabelle2[[#This Row],[Amount Sold]]</f>
        <v>0</v>
      </c>
      <c r="G2" s="2">
        <v>12</v>
      </c>
      <c r="H2" s="29">
        <f>Tabelle2[[#This Row],[Selling Price]]-Tabelle2[[#This Row],[Supplier Price]]</f>
        <v>4.4200000000000017</v>
      </c>
      <c r="I2" s="30">
        <f>Tabelle2[[#This Row],[Profit Margin]]/Tabelle2[[#This Row],[Selling Price]]</f>
        <v>0.26918392204628511</v>
      </c>
      <c r="J2" s="29">
        <f>Tabelle2[[#This Row],[Amount Sold]]*Tabelle2[[#This Row],[Selling Price]]</f>
        <v>106730.00000000001</v>
      </c>
      <c r="K2" s="29">
        <f>Tabelle2[[#This Row],[Amount Bought]]*Tabelle2[[#This Row],[Supplier Price]]</f>
        <v>78000</v>
      </c>
      <c r="L2" s="29">
        <f>Tabelle2[[#This Row],[Revenue]]-Tabelle2[[#This Row],[Expenses]] + Tabelle2[[#This Row],[Biofuel Revenue]]</f>
        <v>28730.000000000015</v>
      </c>
      <c r="M2" s="29">
        <f>Tabelle2[[#This Row],[Amount Expired]]*Tabelle2[[#This Row],[Supplier Price]]*0.25</f>
        <v>0</v>
      </c>
    </row>
    <row r="3" spans="1:13" x14ac:dyDescent="0.3">
      <c r="A3">
        <v>5</v>
      </c>
      <c r="B3" t="s">
        <v>6</v>
      </c>
      <c r="C3">
        <v>413</v>
      </c>
      <c r="D3">
        <v>500</v>
      </c>
      <c r="E3" s="29">
        <v>65.5</v>
      </c>
      <c r="F3">
        <f>Tabelle2[[#This Row],[Amount Bought]]-Tabelle2[[#This Row],[Amount Sold]]</f>
        <v>87</v>
      </c>
      <c r="G3" s="2">
        <v>65</v>
      </c>
      <c r="H3" s="29">
        <f>Tabelle2[[#This Row],[Selling Price]]-Tabelle2[[#This Row],[Supplier Price]]</f>
        <v>0.5</v>
      </c>
      <c r="I3" s="30">
        <f>Tabelle2[[#This Row],[Profit Margin]]/Tabelle2[[#This Row],[Selling Price]]</f>
        <v>7.6335877862595417E-3</v>
      </c>
      <c r="J3" s="29">
        <f>Tabelle2[[#This Row],[Amount Sold]]*Tabelle2[[#This Row],[Selling Price]]</f>
        <v>27051.5</v>
      </c>
      <c r="K3" s="29">
        <f>Tabelle2[[#This Row],[Amount Bought]]*Tabelle2[[#This Row],[Supplier Price]]</f>
        <v>32500</v>
      </c>
      <c r="L3" s="29">
        <f>Tabelle2[[#This Row],[Revenue]]-Tabelle2[[#This Row],[Expenses]] + Tabelle2[[#This Row],[Biofuel Revenue]]</f>
        <v>-4034.75</v>
      </c>
      <c r="M3" s="29">
        <f>Tabelle2[[#This Row],[Amount Expired]]*Tabelle2[[#This Row],[Supplier Price]]*0.25</f>
        <v>1413.75</v>
      </c>
    </row>
    <row r="4" spans="1:13" x14ac:dyDescent="0.3">
      <c r="A4">
        <v>5</v>
      </c>
      <c r="B4" t="s">
        <v>8</v>
      </c>
      <c r="C4">
        <v>71</v>
      </c>
      <c r="D4">
        <v>71</v>
      </c>
      <c r="E4" s="29">
        <v>849.1</v>
      </c>
      <c r="F4">
        <f>Tabelle2[[#This Row],[Amount Bought]]-Tabelle2[[#This Row],[Amount Sold]]</f>
        <v>0</v>
      </c>
      <c r="G4" s="2">
        <v>580</v>
      </c>
      <c r="H4" s="29">
        <f>Tabelle2[[#This Row],[Selling Price]]-Tabelle2[[#This Row],[Supplier Price]]</f>
        <v>269.10000000000002</v>
      </c>
      <c r="I4" s="30">
        <f>Tabelle2[[#This Row],[Profit Margin]]/Tabelle2[[#This Row],[Selling Price]]</f>
        <v>0.31692380167235901</v>
      </c>
      <c r="J4" s="29">
        <f>Tabelle2[[#This Row],[Amount Sold]]*Tabelle2[[#This Row],[Selling Price]]</f>
        <v>60286.1</v>
      </c>
      <c r="K4" s="29">
        <f>Tabelle2[[#This Row],[Amount Bought]]*Tabelle2[[#This Row],[Supplier Price]]</f>
        <v>41180</v>
      </c>
      <c r="L4" s="29">
        <f>Tabelle2[[#This Row],[Revenue]]-Tabelle2[[#This Row],[Expenses]] + Tabelle2[[#This Row],[Biofuel Revenue]]</f>
        <v>19106.099999999999</v>
      </c>
      <c r="M4" s="29">
        <f>Tabelle2[[#This Row],[Amount Expired]]*Tabelle2[[#This Row],[Supplier Price]]*0.25</f>
        <v>0</v>
      </c>
    </row>
    <row r="5" spans="1:13" x14ac:dyDescent="0.3">
      <c r="A5">
        <v>5</v>
      </c>
      <c r="B5" t="s">
        <v>11</v>
      </c>
      <c r="C5">
        <v>3000</v>
      </c>
      <c r="D5">
        <v>3000</v>
      </c>
      <c r="E5" s="29">
        <v>65.650000000000006</v>
      </c>
      <c r="F5">
        <f>Tabelle2[[#This Row],[Amount Bought]]-Tabelle2[[#This Row],[Amount Sold]]</f>
        <v>0</v>
      </c>
      <c r="G5" s="2">
        <v>45</v>
      </c>
      <c r="H5" s="29">
        <f>Tabelle2[[#This Row],[Selling Price]]-Tabelle2[[#This Row],[Supplier Price]]</f>
        <v>20.650000000000006</v>
      </c>
      <c r="I5" s="30">
        <f>Tabelle2[[#This Row],[Profit Margin]]/Tabelle2[[#This Row],[Selling Price]]</f>
        <v>0.3145468392993146</v>
      </c>
      <c r="J5" s="29">
        <f>Tabelle2[[#This Row],[Amount Sold]]*Tabelle2[[#This Row],[Selling Price]]</f>
        <v>196950.00000000003</v>
      </c>
      <c r="K5" s="29">
        <f>Tabelle2[[#This Row],[Amount Bought]]*Tabelle2[[#This Row],[Supplier Price]]</f>
        <v>135000</v>
      </c>
      <c r="L5" s="29">
        <f>Tabelle2[[#This Row],[Revenue]]-Tabelle2[[#This Row],[Expenses]] + Tabelle2[[#This Row],[Biofuel Revenue]]</f>
        <v>61950.000000000029</v>
      </c>
      <c r="M5" s="29">
        <f>Tabelle2[[#This Row],[Amount Expired]]*Tabelle2[[#This Row],[Supplier Price]]*0.25</f>
        <v>0</v>
      </c>
    </row>
    <row r="6" spans="1:13" x14ac:dyDescent="0.3">
      <c r="A6">
        <v>5</v>
      </c>
      <c r="B6" t="s">
        <v>4</v>
      </c>
      <c r="C6">
        <v>7500</v>
      </c>
      <c r="D6">
        <v>7500</v>
      </c>
      <c r="E6" s="29">
        <v>24.99</v>
      </c>
      <c r="F6">
        <f>Tabelle2[[#This Row],[Amount Bought]]-Tabelle2[[#This Row],[Amount Sold]]</f>
        <v>0</v>
      </c>
      <c r="G6" s="2">
        <v>18</v>
      </c>
      <c r="H6" s="29">
        <f>Tabelle2[[#This Row],[Selling Price]]-Tabelle2[[#This Row],[Supplier Price]]</f>
        <v>6.9899999999999984</v>
      </c>
      <c r="I6" s="30">
        <f>Tabelle2[[#This Row],[Profit Margin]]/Tabelle2[[#This Row],[Selling Price]]</f>
        <v>0.27971188475390152</v>
      </c>
      <c r="J6" s="29">
        <f>Tabelle2[[#This Row],[Amount Sold]]*Tabelle2[[#This Row],[Selling Price]]</f>
        <v>187425</v>
      </c>
      <c r="K6" s="29">
        <f>Tabelle2[[#This Row],[Amount Bought]]*Tabelle2[[#This Row],[Supplier Price]]</f>
        <v>135000</v>
      </c>
      <c r="L6" s="29">
        <f>Tabelle2[[#This Row],[Revenue]]-Tabelle2[[#This Row],[Expenses]] + Tabelle2[[#This Row],[Biofuel Revenue]]</f>
        <v>52425</v>
      </c>
      <c r="M6" s="29">
        <f>Tabelle2[[#This Row],[Amount Expired]]*Tabelle2[[#This Row],[Supplier Price]]*0.25</f>
        <v>0</v>
      </c>
    </row>
    <row r="7" spans="1:13" x14ac:dyDescent="0.3">
      <c r="A7">
        <v>5</v>
      </c>
      <c r="B7" t="s">
        <v>3</v>
      </c>
      <c r="C7">
        <v>5000</v>
      </c>
      <c r="D7">
        <v>5000</v>
      </c>
      <c r="E7" s="29">
        <v>10.93</v>
      </c>
      <c r="F7">
        <f>Tabelle2[[#This Row],[Amount Bought]]-Tabelle2[[#This Row],[Amount Sold]]</f>
        <v>0</v>
      </c>
      <c r="G7" s="2">
        <v>8</v>
      </c>
      <c r="H7" s="29">
        <f>Tabelle2[[#This Row],[Selling Price]]-Tabelle2[[#This Row],[Supplier Price]]</f>
        <v>2.9299999999999997</v>
      </c>
      <c r="I7" s="30">
        <f>Tabelle2[[#This Row],[Profit Margin]]/Tabelle2[[#This Row],[Selling Price]]</f>
        <v>0.26806953339432754</v>
      </c>
      <c r="J7" s="29">
        <f>Tabelle2[[#This Row],[Amount Sold]]*Tabelle2[[#This Row],[Selling Price]]</f>
        <v>54650</v>
      </c>
      <c r="K7" s="29">
        <f>Tabelle2[[#This Row],[Amount Bought]]*Tabelle2[[#This Row],[Supplier Price]]</f>
        <v>40000</v>
      </c>
      <c r="L7" s="29">
        <f>Tabelle2[[#This Row],[Revenue]]-Tabelle2[[#This Row],[Expenses]] + Tabelle2[[#This Row],[Biofuel Revenue]]</f>
        <v>14650</v>
      </c>
      <c r="M7" s="29">
        <f>Tabelle2[[#This Row],[Amount Expired]]*Tabelle2[[#This Row],[Supplier Price]]*0.25</f>
        <v>0</v>
      </c>
    </row>
    <row r="8" spans="1:13" x14ac:dyDescent="0.3">
      <c r="A8">
        <v>5</v>
      </c>
      <c r="B8" t="s">
        <v>12</v>
      </c>
      <c r="C8">
        <v>2700</v>
      </c>
      <c r="D8">
        <v>2700</v>
      </c>
      <c r="E8" s="29">
        <v>49.97</v>
      </c>
      <c r="F8">
        <f>Tabelle2[[#This Row],[Amount Bought]]-Tabelle2[[#This Row],[Amount Sold]]</f>
        <v>0</v>
      </c>
      <c r="G8" s="2">
        <v>38</v>
      </c>
      <c r="H8" s="29">
        <f>Tabelle2[[#This Row],[Selling Price]]-Tabelle2[[#This Row],[Supplier Price]]</f>
        <v>11.969999999999999</v>
      </c>
      <c r="I8" s="30">
        <f>Tabelle2[[#This Row],[Profit Margin]]/Tabelle2[[#This Row],[Selling Price]]</f>
        <v>0.23954372623574144</v>
      </c>
      <c r="J8" s="29">
        <f>Tabelle2[[#This Row],[Amount Sold]]*Tabelle2[[#This Row],[Selling Price]]</f>
        <v>134919</v>
      </c>
      <c r="K8" s="29">
        <f>Tabelle2[[#This Row],[Amount Bought]]*Tabelle2[[#This Row],[Supplier Price]]</f>
        <v>102600</v>
      </c>
      <c r="L8" s="29">
        <f>Tabelle2[[#This Row],[Revenue]]-Tabelle2[[#This Row],[Expenses]] + Tabelle2[[#This Row],[Biofuel Revenue]]</f>
        <v>32319</v>
      </c>
      <c r="M8" s="29">
        <f>Tabelle2[[#This Row],[Amount Expired]]*Tabelle2[[#This Row],[Supplier Price]]*0.25</f>
        <v>0</v>
      </c>
    </row>
    <row r="9" spans="1:13" x14ac:dyDescent="0.3">
      <c r="A9">
        <v>5</v>
      </c>
      <c r="B9" t="s">
        <v>7</v>
      </c>
      <c r="C9">
        <v>2565</v>
      </c>
      <c r="D9">
        <v>3340</v>
      </c>
      <c r="E9" s="29">
        <v>290.5</v>
      </c>
      <c r="F9">
        <f>Tabelle2[[#This Row],[Amount Bought]]-Tabelle2[[#This Row],[Amount Sold]]</f>
        <v>775</v>
      </c>
      <c r="G9" s="2">
        <v>220</v>
      </c>
      <c r="H9" s="29">
        <f>Tabelle2[[#This Row],[Selling Price]]-Tabelle2[[#This Row],[Supplier Price]]</f>
        <v>70.5</v>
      </c>
      <c r="I9" s="30">
        <f>Tabelle2[[#This Row],[Profit Margin]]/Tabelle2[[#This Row],[Selling Price]]</f>
        <v>0.24268502581755594</v>
      </c>
      <c r="J9" s="29">
        <f>Tabelle2[[#This Row],[Amount Sold]]*Tabelle2[[#This Row],[Selling Price]]</f>
        <v>745132.5</v>
      </c>
      <c r="K9" s="29">
        <f>Tabelle2[[#This Row],[Amount Bought]]*Tabelle2[[#This Row],[Supplier Price]]</f>
        <v>734800</v>
      </c>
      <c r="L9" s="29">
        <f>Tabelle2[[#This Row],[Revenue]]-Tabelle2[[#This Row],[Expenses]] + Tabelle2[[#This Row],[Biofuel Revenue]]</f>
        <v>52957.5</v>
      </c>
      <c r="M9" s="29">
        <f>Tabelle2[[#This Row],[Amount Expired]]*Tabelle2[[#This Row],[Supplier Price]]*0.25</f>
        <v>42625</v>
      </c>
    </row>
    <row r="10" spans="1:13" x14ac:dyDescent="0.3">
      <c r="A10">
        <v>5</v>
      </c>
      <c r="B10" t="s">
        <v>27</v>
      </c>
      <c r="C10">
        <v>800</v>
      </c>
      <c r="D10">
        <v>800</v>
      </c>
      <c r="E10" s="29">
        <v>376.48</v>
      </c>
      <c r="F10">
        <f>Tabelle2[[#This Row],[Amount Bought]]-Tabelle2[[#This Row],[Amount Sold]]</f>
        <v>0</v>
      </c>
      <c r="G10" s="2">
        <v>280</v>
      </c>
      <c r="H10" s="29">
        <f>Tabelle2[[#This Row],[Selling Price]]-Tabelle2[[#This Row],[Supplier Price]]</f>
        <v>96.480000000000018</v>
      </c>
      <c r="I10" s="30">
        <f>Tabelle2[[#This Row],[Profit Margin]]/Tabelle2[[#This Row],[Selling Price]]</f>
        <v>0.25626859328516793</v>
      </c>
      <c r="J10" s="29">
        <f>Tabelle2[[#This Row],[Amount Sold]]*Tabelle2[[#This Row],[Selling Price]]</f>
        <v>301184</v>
      </c>
      <c r="K10" s="29">
        <f>Tabelle2[[#This Row],[Amount Bought]]*Tabelle2[[#This Row],[Supplier Price]]</f>
        <v>224000</v>
      </c>
      <c r="L10" s="29">
        <f>Tabelle2[[#This Row],[Revenue]]-Tabelle2[[#This Row],[Expenses]] + Tabelle2[[#This Row],[Biofuel Revenue]]</f>
        <v>77184</v>
      </c>
      <c r="M10" s="29">
        <f>Tabelle2[[#This Row],[Amount Expired]]*Tabelle2[[#This Row],[Supplier Price]]*0.25</f>
        <v>0</v>
      </c>
    </row>
    <row r="11" spans="1:13" x14ac:dyDescent="0.3">
      <c r="A11">
        <v>5</v>
      </c>
      <c r="B11" t="s">
        <v>10</v>
      </c>
      <c r="C11">
        <v>10000</v>
      </c>
      <c r="D11">
        <v>10000</v>
      </c>
      <c r="E11" s="29">
        <v>21.9</v>
      </c>
      <c r="F11">
        <f>Tabelle2[[#This Row],[Amount Bought]]-Tabelle2[[#This Row],[Amount Sold]]</f>
        <v>0</v>
      </c>
      <c r="G11" s="2">
        <v>16</v>
      </c>
      <c r="H11" s="29">
        <f>Tabelle2[[#This Row],[Selling Price]]-Tabelle2[[#This Row],[Supplier Price]]</f>
        <v>5.8999999999999986</v>
      </c>
      <c r="I11" s="30">
        <f>Tabelle2[[#This Row],[Profit Margin]]/Tabelle2[[#This Row],[Selling Price]]</f>
        <v>0.26940639269406386</v>
      </c>
      <c r="J11" s="29">
        <f>Tabelle2[[#This Row],[Amount Sold]]*Tabelle2[[#This Row],[Selling Price]]</f>
        <v>219000</v>
      </c>
      <c r="K11" s="29">
        <f>Tabelle2[[#This Row],[Amount Bought]]*Tabelle2[[#This Row],[Supplier Price]]</f>
        <v>160000</v>
      </c>
      <c r="L11" s="29">
        <f>Tabelle2[[#This Row],[Revenue]]-Tabelle2[[#This Row],[Expenses]] + Tabelle2[[#This Row],[Biofuel Revenue]]</f>
        <v>59000</v>
      </c>
      <c r="M11" s="29">
        <f>Tabelle2[[#This Row],[Amount Expired]]*Tabelle2[[#This Row],[Supplier Price]]*0.25</f>
        <v>0</v>
      </c>
    </row>
    <row r="12" spans="1:13" x14ac:dyDescent="0.3">
      <c r="A12">
        <v>5</v>
      </c>
      <c r="B12" t="s">
        <v>2</v>
      </c>
      <c r="C12">
        <v>5000</v>
      </c>
      <c r="D12">
        <v>5000</v>
      </c>
      <c r="E12" s="29">
        <v>8.5</v>
      </c>
      <c r="F12">
        <f>Tabelle2[[#This Row],[Amount Bought]]-Tabelle2[[#This Row],[Amount Sold]]</f>
        <v>0</v>
      </c>
      <c r="G12" s="2">
        <v>6</v>
      </c>
      <c r="H12" s="29">
        <f>Tabelle2[[#This Row],[Selling Price]]-Tabelle2[[#This Row],[Supplier Price]]</f>
        <v>2.5</v>
      </c>
      <c r="I12" s="30">
        <f>Tabelle2[[#This Row],[Profit Margin]]/Tabelle2[[#This Row],[Selling Price]]</f>
        <v>0.29411764705882354</v>
      </c>
      <c r="J12" s="29">
        <f>Tabelle2[[#This Row],[Amount Sold]]*Tabelle2[[#This Row],[Selling Price]]</f>
        <v>42500</v>
      </c>
      <c r="K12" s="29">
        <f>Tabelle2[[#This Row],[Amount Bought]]*Tabelle2[[#This Row],[Supplier Price]]</f>
        <v>30000</v>
      </c>
      <c r="L12" s="29">
        <f>Tabelle2[[#This Row],[Revenue]]-Tabelle2[[#This Row],[Expenses]] + Tabelle2[[#This Row],[Biofuel Revenue]]</f>
        <v>12500</v>
      </c>
      <c r="M12" s="29">
        <f>Tabelle2[[#This Row],[Amount Expired]]*Tabelle2[[#This Row],[Supplier Price]]*0.25</f>
        <v>0</v>
      </c>
    </row>
    <row r="13" spans="1:13" x14ac:dyDescent="0.3">
      <c r="A13">
        <v>5</v>
      </c>
      <c r="B13" t="s">
        <v>1</v>
      </c>
      <c r="C13">
        <v>6000</v>
      </c>
      <c r="D13">
        <v>6000</v>
      </c>
      <c r="E13" s="29">
        <v>21.54</v>
      </c>
      <c r="F13">
        <f>Tabelle2[[#This Row],[Amount Bought]]-Tabelle2[[#This Row],[Amount Sold]]</f>
        <v>0</v>
      </c>
      <c r="G13" s="2">
        <v>15</v>
      </c>
      <c r="H13" s="29">
        <f>Tabelle2[[#This Row],[Selling Price]]-Tabelle2[[#This Row],[Supplier Price]]</f>
        <v>6.5399999999999991</v>
      </c>
      <c r="I13" s="30">
        <f>Tabelle2[[#This Row],[Profit Margin]]/Tabelle2[[#This Row],[Selling Price]]</f>
        <v>0.30362116991643451</v>
      </c>
      <c r="J13" s="29">
        <f>Tabelle2[[#This Row],[Amount Sold]]*Tabelle2[[#This Row],[Selling Price]]</f>
        <v>129240</v>
      </c>
      <c r="K13" s="29">
        <f>Tabelle2[[#This Row],[Amount Bought]]*Tabelle2[[#This Row],[Supplier Price]]</f>
        <v>90000</v>
      </c>
      <c r="L13" s="29">
        <f>Tabelle2[[#This Row],[Revenue]]-Tabelle2[[#This Row],[Expenses]] + Tabelle2[[#This Row],[Biofuel Revenue]]</f>
        <v>39240</v>
      </c>
      <c r="M13" s="29">
        <f>Tabelle2[[#This Row],[Amount Expired]]*Tabelle2[[#This Row],[Supplier Price]]*0.25</f>
        <v>0</v>
      </c>
    </row>
    <row r="14" spans="1:13" x14ac:dyDescent="0.3">
      <c r="A14">
        <v>5</v>
      </c>
      <c r="B14" t="s">
        <v>5</v>
      </c>
      <c r="C14">
        <v>5500</v>
      </c>
      <c r="D14">
        <v>5500</v>
      </c>
      <c r="E14" s="29">
        <v>47.76</v>
      </c>
      <c r="F14">
        <f>Tabelle2[[#This Row],[Amount Bought]]-Tabelle2[[#This Row],[Amount Sold]]</f>
        <v>0</v>
      </c>
      <c r="G14" s="2">
        <v>35</v>
      </c>
      <c r="H14" s="29">
        <f>Tabelle2[[#This Row],[Selling Price]]-Tabelle2[[#This Row],[Supplier Price]]</f>
        <v>12.759999999999998</v>
      </c>
      <c r="I14" s="30">
        <f>Tabelle2[[#This Row],[Profit Margin]]/Tabelle2[[#This Row],[Selling Price]]</f>
        <v>0.26716917922948069</v>
      </c>
      <c r="J14" s="29">
        <f>Tabelle2[[#This Row],[Amount Sold]]*Tabelle2[[#This Row],[Selling Price]]</f>
        <v>262680</v>
      </c>
      <c r="K14" s="29">
        <f>Tabelle2[[#This Row],[Amount Bought]]*Tabelle2[[#This Row],[Supplier Price]]</f>
        <v>192500</v>
      </c>
      <c r="L14" s="29">
        <f>Tabelle2[[#This Row],[Revenue]]-Tabelle2[[#This Row],[Expenses]] + Tabelle2[[#This Row],[Biofuel Revenue]]</f>
        <v>70180</v>
      </c>
      <c r="M14" s="29">
        <f>Tabelle2[[#This Row],[Amount Expired]]*Tabelle2[[#This Row],[Supplier Price]]*0.25</f>
        <v>0</v>
      </c>
    </row>
    <row r="15" spans="1:13" x14ac:dyDescent="0.3">
      <c r="A15" t="s">
        <v>18</v>
      </c>
      <c r="C15">
        <f>SUM(C2:C14)</f>
        <v>55049</v>
      </c>
      <c r="D15">
        <f>SUM(D2:D14)</f>
        <v>55911</v>
      </c>
      <c r="E15" s="29"/>
      <c r="F15">
        <f>Tabelle2[[#This Row],[Amount Bought]]-Tabelle2[[#This Row],[Amount Sold]]</f>
        <v>862</v>
      </c>
      <c r="H15" s="29"/>
      <c r="J15" s="29">
        <f>SUM(J2:J14)</f>
        <v>2467748.1</v>
      </c>
      <c r="K15" s="29">
        <f>SUM(K2:K14)</f>
        <v>1995580</v>
      </c>
      <c r="L15" s="29">
        <f>SUM(L2:L14)</f>
        <v>516206.85000000003</v>
      </c>
      <c r="M15" s="29">
        <f>Tabelle2[[#This Row],[Amount Expired]]*Tabelle2[[#This Row],[Supplier Price]]*0.25</f>
        <v>0</v>
      </c>
    </row>
  </sheetData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7F5C5-5621-4037-AE52-FD387B3AC832}">
  <dimension ref="A1:M19"/>
  <sheetViews>
    <sheetView workbookViewId="0">
      <selection activeCell="N17" sqref="N17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0" width="12.109375" bestFit="1" customWidth="1"/>
    <col min="12" max="12" width="12.77734375" bestFit="1" customWidth="1"/>
    <col min="13" max="13" width="16.33203125" bestFit="1" customWidth="1"/>
  </cols>
  <sheetData>
    <row r="1" spans="1:13" x14ac:dyDescent="0.3">
      <c r="A1" s="25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33" t="s">
        <v>19</v>
      </c>
      <c r="M1" s="16" t="s">
        <v>70</v>
      </c>
    </row>
    <row r="2" spans="1:13" x14ac:dyDescent="0.3">
      <c r="A2">
        <v>6</v>
      </c>
      <c r="B2" t="s">
        <v>9</v>
      </c>
      <c r="C2">
        <v>6225</v>
      </c>
      <c r="D2">
        <v>6500</v>
      </c>
      <c r="E2" s="32">
        <v>15.6</v>
      </c>
      <c r="F2">
        <f>D2-C2</f>
        <v>275</v>
      </c>
      <c r="G2" s="12">
        <v>12</v>
      </c>
      <c r="H2" s="31">
        <f>E2-G2</f>
        <v>3.5999999999999996</v>
      </c>
      <c r="I2" s="30">
        <f>Tabelle3[[#This Row],[Profit Margin]] /Tabelle3[[#This Row],[Selling Price]]</f>
        <v>0.23076923076923075</v>
      </c>
      <c r="J2" s="29">
        <f>C2*E2</f>
        <v>97110</v>
      </c>
      <c r="K2" s="3">
        <f>D2*G2</f>
        <v>78000</v>
      </c>
      <c r="L2" s="29">
        <f>J2-K2 + Tabelle3[[#This Row],[Biofuel Revenue]]</f>
        <v>19935</v>
      </c>
      <c r="M2">
        <f>Tabelle3[[#This Row],[Amount Expired]]*Tabelle3[[#This Row],[Supplier Price]]*0.25</f>
        <v>825</v>
      </c>
    </row>
    <row r="3" spans="1:13" x14ac:dyDescent="0.3">
      <c r="A3">
        <v>6</v>
      </c>
      <c r="B3" t="s">
        <v>6</v>
      </c>
      <c r="C3">
        <v>165</v>
      </c>
      <c r="D3">
        <v>165</v>
      </c>
      <c r="E3" s="32">
        <v>62.23</v>
      </c>
      <c r="F3">
        <f t="shared" ref="F3:F14" si="0">D3-C3</f>
        <v>0</v>
      </c>
      <c r="G3" s="12">
        <v>65</v>
      </c>
      <c r="H3" s="31">
        <f t="shared" ref="H3:H14" si="1">E3-G3</f>
        <v>-2.7700000000000031</v>
      </c>
      <c r="I3" s="30">
        <f>Tabelle3[[#This Row],[Profit Margin]] /Tabelle3[[#This Row],[Selling Price]]</f>
        <v>-4.4512293106218917E-2</v>
      </c>
      <c r="J3" s="29">
        <f t="shared" ref="J3:J14" si="2">C3*E3</f>
        <v>10267.949999999999</v>
      </c>
      <c r="K3" s="3">
        <f t="shared" ref="K3:K14" si="3">D3*G3</f>
        <v>10725</v>
      </c>
      <c r="L3" s="29">
        <f>J3-K3 + Tabelle3[[#This Row],[Biofuel Revenue]]</f>
        <v>-457.05000000000109</v>
      </c>
      <c r="M3">
        <f>Tabelle3[[#This Row],[Amount Expired]]*Tabelle3[[#This Row],[Supplier Price]]*0.25</f>
        <v>0</v>
      </c>
    </row>
    <row r="4" spans="1:13" x14ac:dyDescent="0.3">
      <c r="A4">
        <v>6</v>
      </c>
      <c r="B4" t="s">
        <v>8</v>
      </c>
      <c r="C4">
        <v>72</v>
      </c>
      <c r="D4">
        <v>72</v>
      </c>
      <c r="E4" s="32">
        <v>806.65</v>
      </c>
      <c r="F4">
        <f t="shared" si="0"/>
        <v>0</v>
      </c>
      <c r="G4" s="12">
        <v>580</v>
      </c>
      <c r="H4" s="31">
        <f t="shared" si="1"/>
        <v>226.64999999999998</v>
      </c>
      <c r="I4" s="30">
        <f>Tabelle3[[#This Row],[Profit Margin]] /Tabelle3[[#This Row],[Selling Price]]</f>
        <v>0.28097687968759683</v>
      </c>
      <c r="J4" s="29">
        <f t="shared" si="2"/>
        <v>58078.799999999996</v>
      </c>
      <c r="K4" s="3">
        <f t="shared" si="3"/>
        <v>41760</v>
      </c>
      <c r="L4" s="29">
        <f>J4-K4 + Tabelle3[[#This Row],[Biofuel Revenue]]</f>
        <v>16318.799999999996</v>
      </c>
      <c r="M4">
        <f>Tabelle3[[#This Row],[Amount Expired]]*Tabelle3[[#This Row],[Supplier Price]]*0.25</f>
        <v>0</v>
      </c>
    </row>
    <row r="5" spans="1:13" x14ac:dyDescent="0.3">
      <c r="A5">
        <v>6</v>
      </c>
      <c r="B5" t="s">
        <v>11</v>
      </c>
      <c r="C5">
        <v>3000</v>
      </c>
      <c r="D5">
        <v>3000</v>
      </c>
      <c r="E5" s="32">
        <v>62.37</v>
      </c>
      <c r="F5">
        <f t="shared" si="0"/>
        <v>0</v>
      </c>
      <c r="G5" s="12">
        <v>45</v>
      </c>
      <c r="H5" s="31">
        <f t="shared" si="1"/>
        <v>17.369999999999997</v>
      </c>
      <c r="I5" s="30">
        <f>Tabelle3[[#This Row],[Profit Margin]] /Tabelle3[[#This Row],[Selling Price]]</f>
        <v>0.27849927849927847</v>
      </c>
      <c r="J5" s="29">
        <f t="shared" si="2"/>
        <v>187110</v>
      </c>
      <c r="K5" s="3">
        <f t="shared" si="3"/>
        <v>135000</v>
      </c>
      <c r="L5" s="29">
        <f>J5-K5 + Tabelle3[[#This Row],[Biofuel Revenue]]</f>
        <v>52110</v>
      </c>
      <c r="M5">
        <f>Tabelle3[[#This Row],[Amount Expired]]*Tabelle3[[#This Row],[Supplier Price]]*0.25</f>
        <v>0</v>
      </c>
    </row>
    <row r="6" spans="1:13" x14ac:dyDescent="0.3">
      <c r="A6">
        <v>6</v>
      </c>
      <c r="B6" t="s">
        <v>4</v>
      </c>
      <c r="C6">
        <v>7500</v>
      </c>
      <c r="D6">
        <v>7500</v>
      </c>
      <c r="E6" s="32">
        <v>23.74</v>
      </c>
      <c r="F6">
        <f t="shared" si="0"/>
        <v>0</v>
      </c>
      <c r="G6" s="12">
        <v>18</v>
      </c>
      <c r="H6" s="31">
        <f t="shared" si="1"/>
        <v>5.7399999999999984</v>
      </c>
      <c r="I6" s="30">
        <f>Tabelle3[[#This Row],[Profit Margin]] /Tabelle3[[#This Row],[Selling Price]]</f>
        <v>0.24178601516427964</v>
      </c>
      <c r="J6" s="29">
        <f t="shared" si="2"/>
        <v>178050</v>
      </c>
      <c r="K6" s="3">
        <f t="shared" si="3"/>
        <v>135000</v>
      </c>
      <c r="L6" s="29">
        <f>J6-K6 + Tabelle3[[#This Row],[Biofuel Revenue]]</f>
        <v>43050</v>
      </c>
      <c r="M6">
        <f>Tabelle3[[#This Row],[Amount Expired]]*Tabelle3[[#This Row],[Supplier Price]]*0.25</f>
        <v>0</v>
      </c>
    </row>
    <row r="7" spans="1:13" x14ac:dyDescent="0.3">
      <c r="A7">
        <v>6</v>
      </c>
      <c r="B7" t="s">
        <v>3</v>
      </c>
      <c r="C7">
        <v>5000</v>
      </c>
      <c r="D7">
        <v>5000</v>
      </c>
      <c r="E7" s="32">
        <v>10.38</v>
      </c>
      <c r="F7">
        <f t="shared" si="0"/>
        <v>0</v>
      </c>
      <c r="G7" s="12">
        <v>8</v>
      </c>
      <c r="H7" s="31">
        <f t="shared" si="1"/>
        <v>2.3800000000000008</v>
      </c>
      <c r="I7" s="30">
        <f>Tabelle3[[#This Row],[Profit Margin]] /Tabelle3[[#This Row],[Selling Price]]</f>
        <v>0.22928709055876692</v>
      </c>
      <c r="J7" s="29">
        <f t="shared" si="2"/>
        <v>51900.000000000007</v>
      </c>
      <c r="K7" s="3">
        <f t="shared" si="3"/>
        <v>40000</v>
      </c>
      <c r="L7" s="29">
        <f>J7-K7 + Tabelle3[[#This Row],[Biofuel Revenue]]</f>
        <v>11900.000000000007</v>
      </c>
      <c r="M7">
        <f>Tabelle3[[#This Row],[Amount Expired]]*Tabelle3[[#This Row],[Supplier Price]]*0.25</f>
        <v>0</v>
      </c>
    </row>
    <row r="8" spans="1:13" x14ac:dyDescent="0.3">
      <c r="A8">
        <v>6</v>
      </c>
      <c r="B8" t="s">
        <v>12</v>
      </c>
      <c r="C8">
        <v>2700</v>
      </c>
      <c r="D8">
        <v>2700</v>
      </c>
      <c r="E8" s="32">
        <v>47.47</v>
      </c>
      <c r="F8">
        <f t="shared" si="0"/>
        <v>0</v>
      </c>
      <c r="G8" s="12">
        <v>38</v>
      </c>
      <c r="H8" s="31">
        <f t="shared" si="1"/>
        <v>9.4699999999999989</v>
      </c>
      <c r="I8" s="30">
        <f>Tabelle3[[#This Row],[Profit Margin]] /Tabelle3[[#This Row],[Selling Price]]</f>
        <v>0.19949441752685904</v>
      </c>
      <c r="J8" s="29">
        <f t="shared" si="2"/>
        <v>128169</v>
      </c>
      <c r="K8" s="3">
        <f t="shared" si="3"/>
        <v>102600</v>
      </c>
      <c r="L8" s="29">
        <f>J8-K8 + Tabelle3[[#This Row],[Biofuel Revenue]]</f>
        <v>25569</v>
      </c>
      <c r="M8">
        <f>Tabelle3[[#This Row],[Amount Expired]]*Tabelle3[[#This Row],[Supplier Price]]*0.25</f>
        <v>0</v>
      </c>
    </row>
    <row r="9" spans="1:13" x14ac:dyDescent="0.3">
      <c r="A9">
        <v>6</v>
      </c>
      <c r="B9" t="s">
        <v>7</v>
      </c>
      <c r="C9">
        <v>2000</v>
      </c>
      <c r="D9">
        <v>2000</v>
      </c>
      <c r="E9" s="32">
        <v>275.98</v>
      </c>
      <c r="F9">
        <f t="shared" si="0"/>
        <v>0</v>
      </c>
      <c r="G9" s="12">
        <v>220</v>
      </c>
      <c r="H9" s="31">
        <f t="shared" si="1"/>
        <v>55.980000000000018</v>
      </c>
      <c r="I9" s="30">
        <f>Tabelle3[[#This Row],[Profit Margin]] /Tabelle3[[#This Row],[Selling Price]]</f>
        <v>0.20284078556417137</v>
      </c>
      <c r="J9" s="29">
        <f t="shared" si="2"/>
        <v>551960</v>
      </c>
      <c r="K9" s="3">
        <f t="shared" si="3"/>
        <v>440000</v>
      </c>
      <c r="L9" s="29">
        <f>J9-K9 + Tabelle3[[#This Row],[Biofuel Revenue]]</f>
        <v>111960</v>
      </c>
      <c r="M9">
        <f>Tabelle3[[#This Row],[Amount Expired]]*Tabelle3[[#This Row],[Supplier Price]]*0.25</f>
        <v>0</v>
      </c>
    </row>
    <row r="10" spans="1:13" x14ac:dyDescent="0.3">
      <c r="A10">
        <v>6</v>
      </c>
      <c r="B10" t="s">
        <v>27</v>
      </c>
      <c r="C10">
        <v>800</v>
      </c>
      <c r="D10">
        <v>800</v>
      </c>
      <c r="E10" s="32">
        <v>357.66</v>
      </c>
      <c r="F10">
        <f t="shared" si="0"/>
        <v>0</v>
      </c>
      <c r="G10" s="12">
        <v>280</v>
      </c>
      <c r="H10" s="31">
        <f t="shared" si="1"/>
        <v>77.660000000000025</v>
      </c>
      <c r="I10" s="30">
        <f>Tabelle3[[#This Row],[Profit Margin]] /Tabelle3[[#This Row],[Selling Price]]</f>
        <v>0.21713359056086792</v>
      </c>
      <c r="J10" s="29">
        <f t="shared" si="2"/>
        <v>286128</v>
      </c>
      <c r="K10" s="3">
        <f t="shared" si="3"/>
        <v>224000</v>
      </c>
      <c r="L10" s="29">
        <f>J10-K10 + Tabelle3[[#This Row],[Biofuel Revenue]]</f>
        <v>62128</v>
      </c>
      <c r="M10">
        <f>Tabelle3[[#This Row],[Amount Expired]]*Tabelle3[[#This Row],[Supplier Price]]*0.25</f>
        <v>0</v>
      </c>
    </row>
    <row r="11" spans="1:13" x14ac:dyDescent="0.3">
      <c r="A11">
        <v>6</v>
      </c>
      <c r="B11" t="s">
        <v>10</v>
      </c>
      <c r="C11">
        <v>10000</v>
      </c>
      <c r="D11">
        <v>10000</v>
      </c>
      <c r="E11" s="32">
        <v>20.81</v>
      </c>
      <c r="F11">
        <f t="shared" si="0"/>
        <v>0</v>
      </c>
      <c r="G11" s="12">
        <v>16</v>
      </c>
      <c r="H11" s="31">
        <f t="shared" si="1"/>
        <v>4.8099999999999987</v>
      </c>
      <c r="I11" s="30">
        <f>Tabelle3[[#This Row],[Profit Margin]] /Tabelle3[[#This Row],[Selling Price]]</f>
        <v>0.23113887554060544</v>
      </c>
      <c r="J11" s="29">
        <f t="shared" si="2"/>
        <v>208100</v>
      </c>
      <c r="K11" s="3">
        <f t="shared" si="3"/>
        <v>160000</v>
      </c>
      <c r="L11" s="29">
        <f>J11-K11 + Tabelle3[[#This Row],[Biofuel Revenue]]</f>
        <v>48100</v>
      </c>
      <c r="M11">
        <f>Tabelle3[[#This Row],[Amount Expired]]*Tabelle3[[#This Row],[Supplier Price]]*0.25</f>
        <v>0</v>
      </c>
    </row>
    <row r="12" spans="1:13" x14ac:dyDescent="0.3">
      <c r="A12">
        <v>6</v>
      </c>
      <c r="B12" t="s">
        <v>2</v>
      </c>
      <c r="C12">
        <v>5000</v>
      </c>
      <c r="D12">
        <v>5000</v>
      </c>
      <c r="E12" s="32">
        <v>8.08</v>
      </c>
      <c r="F12">
        <f t="shared" si="0"/>
        <v>0</v>
      </c>
      <c r="G12" s="12">
        <v>6</v>
      </c>
      <c r="H12" s="31">
        <f t="shared" si="1"/>
        <v>2.08</v>
      </c>
      <c r="I12" s="30">
        <f>Tabelle3[[#This Row],[Profit Margin]] /Tabelle3[[#This Row],[Selling Price]]</f>
        <v>0.25742574257425743</v>
      </c>
      <c r="J12" s="29">
        <f t="shared" si="2"/>
        <v>40400</v>
      </c>
      <c r="K12" s="3">
        <f t="shared" si="3"/>
        <v>30000</v>
      </c>
      <c r="L12" s="29">
        <f>J12-K12 + Tabelle3[[#This Row],[Biofuel Revenue]]</f>
        <v>10400</v>
      </c>
      <c r="M12">
        <f>Tabelle3[[#This Row],[Amount Expired]]*Tabelle3[[#This Row],[Supplier Price]]*0.25</f>
        <v>0</v>
      </c>
    </row>
    <row r="13" spans="1:13" x14ac:dyDescent="0.3">
      <c r="A13">
        <v>6</v>
      </c>
      <c r="B13" t="s">
        <v>1</v>
      </c>
      <c r="C13">
        <v>6000</v>
      </c>
      <c r="D13">
        <v>6000</v>
      </c>
      <c r="E13" s="32">
        <v>20.46</v>
      </c>
      <c r="F13">
        <f t="shared" si="0"/>
        <v>0</v>
      </c>
      <c r="G13" s="12">
        <v>15</v>
      </c>
      <c r="H13" s="31">
        <f t="shared" si="1"/>
        <v>5.4600000000000009</v>
      </c>
      <c r="I13" s="30">
        <f>Tabelle3[[#This Row],[Profit Margin]] /Tabelle3[[#This Row],[Selling Price]]</f>
        <v>0.26686217008797658</v>
      </c>
      <c r="J13" s="29">
        <f t="shared" si="2"/>
        <v>122760</v>
      </c>
      <c r="K13" s="3">
        <f t="shared" si="3"/>
        <v>90000</v>
      </c>
      <c r="L13" s="29">
        <f>J13-K13 + Tabelle3[[#This Row],[Biofuel Revenue]]</f>
        <v>32760</v>
      </c>
      <c r="M13">
        <f>Tabelle3[[#This Row],[Amount Expired]]*Tabelle3[[#This Row],[Supplier Price]]*0.25</f>
        <v>0</v>
      </c>
    </row>
    <row r="14" spans="1:13" x14ac:dyDescent="0.3">
      <c r="A14">
        <v>6</v>
      </c>
      <c r="B14" t="s">
        <v>5</v>
      </c>
      <c r="C14">
        <v>4881</v>
      </c>
      <c r="D14">
        <v>5500</v>
      </c>
      <c r="E14" s="32">
        <v>45.37</v>
      </c>
      <c r="F14">
        <f t="shared" si="0"/>
        <v>619</v>
      </c>
      <c r="G14" s="12">
        <v>35</v>
      </c>
      <c r="H14" s="31">
        <f t="shared" si="1"/>
        <v>10.369999999999997</v>
      </c>
      <c r="I14" s="30">
        <f>Tabelle3[[#This Row],[Profit Margin]] /Tabelle3[[#This Row],[Selling Price]]</f>
        <v>0.22856513114392765</v>
      </c>
      <c r="J14" s="29">
        <f t="shared" si="2"/>
        <v>221450.97</v>
      </c>
      <c r="K14" s="3">
        <f t="shared" si="3"/>
        <v>192500</v>
      </c>
      <c r="L14" s="29">
        <f>J14-K14 + Tabelle3[[#This Row],[Biofuel Revenue]]</f>
        <v>34367.22</v>
      </c>
      <c r="M14">
        <f>Tabelle3[[#This Row],[Amount Expired]]*Tabelle3[[#This Row],[Supplier Price]]*0.25</f>
        <v>5416.25</v>
      </c>
    </row>
    <row r="15" spans="1:13" x14ac:dyDescent="0.3">
      <c r="E15" s="32"/>
      <c r="G15" s="12"/>
      <c r="H15" s="31"/>
      <c r="J15" s="29"/>
      <c r="K15" s="3"/>
      <c r="L15" s="29">
        <f>SUM((L2:L14))</f>
        <v>468140.97</v>
      </c>
    </row>
    <row r="19" spans="12:12" x14ac:dyDescent="0.3">
      <c r="L19" s="29">
        <f>F14*E14+F2*E2</f>
        <v>32374.03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B6F46-0014-4091-A885-64F6A31F175A}">
  <dimension ref="A1:L19"/>
  <sheetViews>
    <sheetView workbookViewId="0">
      <selection activeCell="K15" sqref="K15"/>
    </sheetView>
  </sheetViews>
  <sheetFormatPr baseColWidth="10" defaultRowHeight="14.4" x14ac:dyDescent="0.3"/>
  <cols>
    <col min="1" max="1" width="13.77734375" customWidth="1"/>
    <col min="2" max="2" width="13.44140625" customWidth="1"/>
    <col min="3" max="3" width="15.33203125" customWidth="1"/>
    <col min="4" max="4" width="13.21875" customWidth="1"/>
    <col min="5" max="5" width="16" customWidth="1"/>
    <col min="6" max="6" width="14.6640625" customWidth="1"/>
    <col min="7" max="7" width="13.33203125" customWidth="1"/>
    <col min="8" max="8" width="14.88671875" customWidth="1"/>
    <col min="9" max="10" width="13.6640625" bestFit="1" customWidth="1"/>
    <col min="11" max="11" width="12.109375" bestFit="1" customWidth="1"/>
    <col min="12" max="12" width="16.33203125" bestFit="1" customWidth="1"/>
  </cols>
  <sheetData>
    <row r="1" spans="1:12" x14ac:dyDescent="0.3">
      <c r="A1" s="37" t="s">
        <v>16</v>
      </c>
      <c r="B1" s="37" t="s">
        <v>20</v>
      </c>
      <c r="C1" s="37" t="s">
        <v>15</v>
      </c>
      <c r="D1" s="37" t="s">
        <v>21</v>
      </c>
      <c r="E1" s="37" t="s">
        <v>17</v>
      </c>
      <c r="F1" s="37" t="s">
        <v>22</v>
      </c>
      <c r="G1" s="37" t="s">
        <v>23</v>
      </c>
      <c r="H1" s="37" t="s">
        <v>24</v>
      </c>
      <c r="I1" s="37" t="s">
        <v>26</v>
      </c>
      <c r="J1" s="37" t="s">
        <v>25</v>
      </c>
      <c r="K1" s="38" t="s">
        <v>19</v>
      </c>
      <c r="L1" s="37" t="s">
        <v>70</v>
      </c>
    </row>
    <row r="2" spans="1:12" x14ac:dyDescent="0.3">
      <c r="A2" t="s">
        <v>7</v>
      </c>
      <c r="B2">
        <v>2000</v>
      </c>
      <c r="C2" s="36">
        <v>2000</v>
      </c>
      <c r="D2" s="3">
        <v>275.98</v>
      </c>
      <c r="E2" s="36">
        <f>Tabelle5[[#This Row],[Amount Bought]]-Tabelle5[[#This Row],[Amount Sold]]</f>
        <v>0</v>
      </c>
      <c r="F2" s="35">
        <v>220</v>
      </c>
      <c r="G2" s="3">
        <f>Tabelle5[[#This Row],[Selling Price]]-Tabelle5[[#This Row],[Supplier Price]]</f>
        <v>55.980000000000018</v>
      </c>
      <c r="H2" s="4">
        <f>Tabelle5[[#This Row],[Profit Margin]]/Tabelle5[[#This Row],[Selling Price]]</f>
        <v>0.20284078556417137</v>
      </c>
      <c r="I2" s="29">
        <f>Tabelle5[[#This Row],[Amount Sold]]*Tabelle5[[#This Row],[Selling Price]]</f>
        <v>551960</v>
      </c>
      <c r="J2" s="29">
        <f>Tabelle5[[#This Row],[Amount Bought]]*Tabelle5[[#This Row],[Supplier Price]]</f>
        <v>440000</v>
      </c>
      <c r="K2" s="29">
        <f>Tabelle5[[#This Row],[Revenue]]-Tabelle5[[#This Row],[Expenses]] + Tabelle5[[#This Row],[Biofuel Revenue]]</f>
        <v>111960</v>
      </c>
      <c r="L2" s="29">
        <f>Tabelle5[[#This Row],[Amount Expired]]*Tabelle5[[#This Row],[Supplier Price]]*0.25</f>
        <v>0</v>
      </c>
    </row>
    <row r="3" spans="1:12" x14ac:dyDescent="0.3">
      <c r="A3" t="s">
        <v>27</v>
      </c>
      <c r="B3">
        <v>800</v>
      </c>
      <c r="C3" s="36">
        <v>800</v>
      </c>
      <c r="D3" s="3">
        <v>357.66</v>
      </c>
      <c r="E3" s="36">
        <f>Tabelle5[[#This Row],[Amount Bought]]-Tabelle5[[#This Row],[Amount Sold]]</f>
        <v>0</v>
      </c>
      <c r="F3" s="34">
        <v>280</v>
      </c>
      <c r="G3" s="3">
        <f>Tabelle5[[#This Row],[Selling Price]]-Tabelle5[[#This Row],[Supplier Price]]</f>
        <v>77.660000000000025</v>
      </c>
      <c r="H3" s="4">
        <f>Tabelle5[[#This Row],[Profit Margin]]/Tabelle5[[#This Row],[Selling Price]]</f>
        <v>0.21713359056086792</v>
      </c>
      <c r="I3" s="29">
        <f>Tabelle5[[#This Row],[Amount Sold]]*Tabelle5[[#This Row],[Selling Price]]</f>
        <v>286128</v>
      </c>
      <c r="J3" s="29">
        <f>Tabelle5[[#This Row],[Amount Bought]]*Tabelle5[[#This Row],[Supplier Price]]</f>
        <v>224000</v>
      </c>
      <c r="K3" s="29">
        <f>Tabelle5[[#This Row],[Revenue]]-Tabelle5[[#This Row],[Expenses]] + Tabelle5[[#This Row],[Biofuel Revenue]]</f>
        <v>62128</v>
      </c>
      <c r="L3" s="29">
        <f>Tabelle5[[#This Row],[Amount Expired]]*Tabelle5[[#This Row],[Supplier Price]]*0.25</f>
        <v>0</v>
      </c>
    </row>
    <row r="4" spans="1:12" x14ac:dyDescent="0.3">
      <c r="A4" t="s">
        <v>11</v>
      </c>
      <c r="B4">
        <v>3000</v>
      </c>
      <c r="C4" s="36">
        <v>3000</v>
      </c>
      <c r="D4" s="3">
        <v>62.37</v>
      </c>
      <c r="E4" s="36">
        <f>Tabelle5[[#This Row],[Amount Bought]]-Tabelle5[[#This Row],[Amount Sold]]</f>
        <v>0</v>
      </c>
      <c r="F4" s="35">
        <v>45</v>
      </c>
      <c r="G4" s="3">
        <f>Tabelle5[[#This Row],[Selling Price]]-Tabelle5[[#This Row],[Supplier Price]]</f>
        <v>17.369999999999997</v>
      </c>
      <c r="H4" s="4">
        <f>Tabelle5[[#This Row],[Profit Margin]]/Tabelle5[[#This Row],[Selling Price]]</f>
        <v>0.27849927849927847</v>
      </c>
      <c r="I4" s="29">
        <f>Tabelle5[[#This Row],[Amount Sold]]*Tabelle5[[#This Row],[Selling Price]]</f>
        <v>187110</v>
      </c>
      <c r="J4" s="29">
        <f>Tabelle5[[#This Row],[Amount Bought]]*Tabelle5[[#This Row],[Supplier Price]]</f>
        <v>135000</v>
      </c>
      <c r="K4" s="29">
        <f>Tabelle5[[#This Row],[Revenue]]-Tabelle5[[#This Row],[Expenses]] + Tabelle5[[#This Row],[Biofuel Revenue]]</f>
        <v>52110</v>
      </c>
      <c r="L4" s="29">
        <f>Tabelle5[[#This Row],[Amount Expired]]*Tabelle5[[#This Row],[Supplier Price]]*0.25</f>
        <v>0</v>
      </c>
    </row>
    <row r="5" spans="1:12" x14ac:dyDescent="0.3">
      <c r="A5" t="s">
        <v>10</v>
      </c>
      <c r="B5">
        <v>10000</v>
      </c>
      <c r="C5" s="36">
        <v>10000</v>
      </c>
      <c r="D5" s="3">
        <v>20.81</v>
      </c>
      <c r="E5" s="36">
        <f>Tabelle5[[#This Row],[Amount Bought]]-Tabelle5[[#This Row],[Amount Sold]]</f>
        <v>0</v>
      </c>
      <c r="F5" s="35">
        <v>16</v>
      </c>
      <c r="G5" s="3">
        <f>Tabelle5[[#This Row],[Selling Price]]-Tabelle5[[#This Row],[Supplier Price]]</f>
        <v>4.8099999999999987</v>
      </c>
      <c r="H5" s="4">
        <f>Tabelle5[[#This Row],[Profit Margin]]/Tabelle5[[#This Row],[Selling Price]]</f>
        <v>0.23113887554060544</v>
      </c>
      <c r="I5" s="29">
        <f>Tabelle5[[#This Row],[Amount Sold]]*Tabelle5[[#This Row],[Selling Price]]</f>
        <v>208100</v>
      </c>
      <c r="J5" s="29">
        <f>Tabelle5[[#This Row],[Amount Bought]]*Tabelle5[[#This Row],[Supplier Price]]</f>
        <v>160000</v>
      </c>
      <c r="K5" s="29">
        <f>Tabelle5[[#This Row],[Revenue]]-Tabelle5[[#This Row],[Expenses]] + Tabelle5[[#This Row],[Biofuel Revenue]]</f>
        <v>48100</v>
      </c>
      <c r="L5" s="29">
        <f>Tabelle5[[#This Row],[Amount Expired]]*Tabelle5[[#This Row],[Supplier Price]]*0.25</f>
        <v>0</v>
      </c>
    </row>
    <row r="6" spans="1:12" x14ac:dyDescent="0.3">
      <c r="A6" t="s">
        <v>5</v>
      </c>
      <c r="B6">
        <v>5126</v>
      </c>
      <c r="C6" s="36">
        <v>5500</v>
      </c>
      <c r="D6" s="3">
        <v>45.37</v>
      </c>
      <c r="E6" s="36">
        <f>Tabelle5[[#This Row],[Amount Bought]]-Tabelle5[[#This Row],[Amount Sold]]</f>
        <v>374</v>
      </c>
      <c r="F6" s="41">
        <v>35</v>
      </c>
      <c r="G6" s="3">
        <f>Tabelle5[[#This Row],[Selling Price]]-Tabelle5[[#This Row],[Supplier Price]]</f>
        <v>10.369999999999997</v>
      </c>
      <c r="H6" s="4">
        <f>Tabelle5[[#This Row],[Profit Margin]]/Tabelle5[[#This Row],[Selling Price]]</f>
        <v>0.22856513114392765</v>
      </c>
      <c r="I6" s="29">
        <f>Tabelle5[[#This Row],[Amount Sold]]*Tabelle5[[#This Row],[Selling Price]]</f>
        <v>232566.62</v>
      </c>
      <c r="J6" s="29">
        <f>Tabelle5[[#This Row],[Amount Bought]]*Tabelle5[[#This Row],[Supplier Price]]</f>
        <v>192500</v>
      </c>
      <c r="K6" s="29">
        <f>Tabelle5[[#This Row],[Revenue]]-Tabelle5[[#This Row],[Expenses]] + Tabelle5[[#This Row],[Biofuel Revenue]]</f>
        <v>43339.119999999995</v>
      </c>
      <c r="L6" s="29">
        <f>Tabelle5[[#This Row],[Amount Expired]]*Tabelle5[[#This Row],[Supplier Price]]*0.25</f>
        <v>3272.5</v>
      </c>
    </row>
    <row r="7" spans="1:12" x14ac:dyDescent="0.3">
      <c r="A7" t="s">
        <v>4</v>
      </c>
      <c r="B7">
        <v>7500</v>
      </c>
      <c r="C7" s="36">
        <v>7500</v>
      </c>
      <c r="D7" s="3">
        <v>23.74</v>
      </c>
      <c r="E7" s="36">
        <f>Tabelle5[[#This Row],[Amount Bought]]-Tabelle5[[#This Row],[Amount Sold]]</f>
        <v>0</v>
      </c>
      <c r="F7" s="34">
        <v>18</v>
      </c>
      <c r="G7" s="3">
        <f>Tabelle5[[#This Row],[Selling Price]]-Tabelle5[[#This Row],[Supplier Price]]</f>
        <v>5.7399999999999984</v>
      </c>
      <c r="H7" s="4">
        <f>Tabelle5[[#This Row],[Profit Margin]]/Tabelle5[[#This Row],[Selling Price]]</f>
        <v>0.24178601516427964</v>
      </c>
      <c r="I7" s="29">
        <f>Tabelle5[[#This Row],[Amount Sold]]*Tabelle5[[#This Row],[Selling Price]]</f>
        <v>178050</v>
      </c>
      <c r="J7" s="29">
        <f>Tabelle5[[#This Row],[Amount Bought]]*Tabelle5[[#This Row],[Supplier Price]]</f>
        <v>135000</v>
      </c>
      <c r="K7" s="29">
        <f>Tabelle5[[#This Row],[Revenue]]-Tabelle5[[#This Row],[Expenses]] + Tabelle5[[#This Row],[Biofuel Revenue]]</f>
        <v>43050</v>
      </c>
      <c r="L7" s="29">
        <f>Tabelle5[[#This Row],[Amount Expired]]*Tabelle5[[#This Row],[Supplier Price]]*0.25</f>
        <v>0</v>
      </c>
    </row>
    <row r="8" spans="1:12" x14ac:dyDescent="0.3">
      <c r="A8" t="s">
        <v>1</v>
      </c>
      <c r="B8">
        <v>6000</v>
      </c>
      <c r="C8" s="36">
        <v>6000</v>
      </c>
      <c r="D8" s="3">
        <v>20.46</v>
      </c>
      <c r="E8" s="36">
        <f>Tabelle5[[#This Row],[Amount Bought]]-Tabelle5[[#This Row],[Amount Sold]]</f>
        <v>0</v>
      </c>
      <c r="F8" s="35">
        <v>15</v>
      </c>
      <c r="G8" s="3">
        <f>Tabelle5[[#This Row],[Selling Price]]-Tabelle5[[#This Row],[Supplier Price]]</f>
        <v>5.4600000000000009</v>
      </c>
      <c r="H8" s="4">
        <f>Tabelle5[[#This Row],[Profit Margin]]/Tabelle5[[#This Row],[Selling Price]]</f>
        <v>0.26686217008797658</v>
      </c>
      <c r="I8" s="29">
        <f>Tabelle5[[#This Row],[Amount Sold]]*Tabelle5[[#This Row],[Selling Price]]</f>
        <v>122760</v>
      </c>
      <c r="J8" s="29">
        <f>Tabelle5[[#This Row],[Amount Bought]]*Tabelle5[[#This Row],[Supplier Price]]</f>
        <v>90000</v>
      </c>
      <c r="K8" s="29">
        <f>Tabelle5[[#This Row],[Revenue]]-Tabelle5[[#This Row],[Expenses]] + Tabelle5[[#This Row],[Biofuel Revenue]]</f>
        <v>32760</v>
      </c>
      <c r="L8" s="29">
        <f>Tabelle5[[#This Row],[Amount Expired]]*Tabelle5[[#This Row],[Supplier Price]]*0.25</f>
        <v>0</v>
      </c>
    </row>
    <row r="9" spans="1:12" x14ac:dyDescent="0.3">
      <c r="A9" t="s">
        <v>12</v>
      </c>
      <c r="B9">
        <v>2700</v>
      </c>
      <c r="C9" s="36">
        <v>2700</v>
      </c>
      <c r="D9" s="3">
        <v>47.47</v>
      </c>
      <c r="E9" s="36">
        <f>Tabelle5[[#This Row],[Amount Bought]]-Tabelle5[[#This Row],[Amount Sold]]</f>
        <v>0</v>
      </c>
      <c r="F9" s="34">
        <v>38</v>
      </c>
      <c r="G9" s="3">
        <f>Tabelle5[[#This Row],[Selling Price]]-Tabelle5[[#This Row],[Supplier Price]]</f>
        <v>9.4699999999999989</v>
      </c>
      <c r="H9" s="4">
        <f>Tabelle5[[#This Row],[Profit Margin]]/Tabelle5[[#This Row],[Selling Price]]</f>
        <v>0.19949441752685904</v>
      </c>
      <c r="I9" s="29">
        <f>Tabelle5[[#This Row],[Amount Sold]]*Tabelle5[[#This Row],[Selling Price]]</f>
        <v>128169</v>
      </c>
      <c r="J9" s="29">
        <f>Tabelle5[[#This Row],[Amount Bought]]*Tabelle5[[#This Row],[Supplier Price]]</f>
        <v>102600</v>
      </c>
      <c r="K9" s="29">
        <f>Tabelle5[[#This Row],[Revenue]]-Tabelle5[[#This Row],[Expenses]] + Tabelle5[[#This Row],[Biofuel Revenue]]</f>
        <v>25569</v>
      </c>
      <c r="L9" s="29">
        <f>Tabelle5[[#This Row],[Amount Expired]]*Tabelle5[[#This Row],[Supplier Price]]*0.25</f>
        <v>0</v>
      </c>
    </row>
    <row r="10" spans="1:12" x14ac:dyDescent="0.3">
      <c r="A10" t="s">
        <v>9</v>
      </c>
      <c r="B10">
        <v>6500</v>
      </c>
      <c r="C10" s="36">
        <v>6500</v>
      </c>
      <c r="D10" s="3">
        <v>15.6</v>
      </c>
      <c r="E10" s="36">
        <f>Tabelle5[[#This Row],[Amount Bought]]-Tabelle5[[#This Row],[Amount Sold]]</f>
        <v>0</v>
      </c>
      <c r="F10" s="34">
        <v>12</v>
      </c>
      <c r="G10" s="3">
        <f>Tabelle5[[#This Row],[Selling Price]]-Tabelle5[[#This Row],[Supplier Price]]</f>
        <v>3.5999999999999996</v>
      </c>
      <c r="H10" s="30">
        <f>Tabelle5[[#This Row],[Profit Margin]]/Tabelle5[[#This Row],[Selling Price]]</f>
        <v>0.23076923076923075</v>
      </c>
      <c r="I10" s="29">
        <f>Tabelle5[[#This Row],[Amount Sold]]*Tabelle5[[#This Row],[Selling Price]]</f>
        <v>101400</v>
      </c>
      <c r="J10" s="29">
        <f>Tabelle5[[#This Row],[Amount Bought]]*Tabelle5[[#This Row],[Supplier Price]]</f>
        <v>78000</v>
      </c>
      <c r="K10" s="29">
        <f>Tabelle5[[#This Row],[Revenue]]-Tabelle5[[#This Row],[Expenses]] + Tabelle5[[#This Row],[Biofuel Revenue]]</f>
        <v>23400</v>
      </c>
      <c r="L10" s="29">
        <f>Tabelle5[[#This Row],[Amount Expired]]*Tabelle5[[#This Row],[Supplier Price]]*0.25</f>
        <v>0</v>
      </c>
    </row>
    <row r="11" spans="1:12" x14ac:dyDescent="0.3">
      <c r="A11" t="s">
        <v>8</v>
      </c>
      <c r="B11">
        <v>72</v>
      </c>
      <c r="C11" s="36">
        <v>72</v>
      </c>
      <c r="D11" s="3">
        <v>806.65</v>
      </c>
      <c r="E11" s="36">
        <f>Tabelle5[[#This Row],[Amount Bought]]-Tabelle5[[#This Row],[Amount Sold]]</f>
        <v>0</v>
      </c>
      <c r="F11" s="34">
        <v>580</v>
      </c>
      <c r="G11" s="3">
        <f>Tabelle5[[#This Row],[Selling Price]]-Tabelle5[[#This Row],[Supplier Price]]</f>
        <v>226.64999999999998</v>
      </c>
      <c r="H11" s="4">
        <f>Tabelle5[[#This Row],[Profit Margin]]/Tabelle5[[#This Row],[Selling Price]]</f>
        <v>0.28097687968759683</v>
      </c>
      <c r="I11" s="29">
        <f>Tabelle5[[#This Row],[Amount Sold]]*Tabelle5[[#This Row],[Selling Price]]</f>
        <v>58078.799999999996</v>
      </c>
      <c r="J11" s="29">
        <f>Tabelle5[[#This Row],[Amount Bought]]*Tabelle5[[#This Row],[Supplier Price]]</f>
        <v>41760</v>
      </c>
      <c r="K11" s="29">
        <f>Tabelle5[[#This Row],[Revenue]]-Tabelle5[[#This Row],[Expenses]] + Tabelle5[[#This Row],[Biofuel Revenue]]</f>
        <v>16318.799999999996</v>
      </c>
      <c r="L11" s="29">
        <f>Tabelle5[[#This Row],[Amount Expired]]*Tabelle5[[#This Row],[Supplier Price]]*0.25</f>
        <v>0</v>
      </c>
    </row>
    <row r="12" spans="1:12" x14ac:dyDescent="0.3">
      <c r="A12" t="s">
        <v>3</v>
      </c>
      <c r="B12">
        <v>5000</v>
      </c>
      <c r="C12" s="36">
        <v>5000</v>
      </c>
      <c r="D12" s="3">
        <v>10.38</v>
      </c>
      <c r="E12" s="36">
        <f>Tabelle5[[#This Row],[Amount Bought]]-Tabelle5[[#This Row],[Amount Sold]]</f>
        <v>0</v>
      </c>
      <c r="F12" s="35">
        <v>8</v>
      </c>
      <c r="G12" s="3">
        <f>Tabelle5[[#This Row],[Selling Price]]-Tabelle5[[#This Row],[Supplier Price]]</f>
        <v>2.3800000000000008</v>
      </c>
      <c r="H12" s="4">
        <f>Tabelle5[[#This Row],[Profit Margin]]/Tabelle5[[#This Row],[Selling Price]]</f>
        <v>0.22928709055876692</v>
      </c>
      <c r="I12" s="29">
        <f>Tabelle5[[#This Row],[Amount Sold]]*Tabelle5[[#This Row],[Selling Price]]</f>
        <v>51900.000000000007</v>
      </c>
      <c r="J12" s="29">
        <f>Tabelle5[[#This Row],[Amount Bought]]*Tabelle5[[#This Row],[Supplier Price]]</f>
        <v>40000</v>
      </c>
      <c r="K12" s="29">
        <f>Tabelle5[[#This Row],[Revenue]]-Tabelle5[[#This Row],[Expenses]] + Tabelle5[[#This Row],[Biofuel Revenue]]</f>
        <v>11900.000000000007</v>
      </c>
      <c r="L12" s="29">
        <f>Tabelle5[[#This Row],[Amount Expired]]*Tabelle5[[#This Row],[Supplier Price]]*0.25</f>
        <v>0</v>
      </c>
    </row>
    <row r="13" spans="1:12" x14ac:dyDescent="0.3">
      <c r="A13" t="s">
        <v>2</v>
      </c>
      <c r="B13">
        <v>5000</v>
      </c>
      <c r="C13" s="36">
        <v>5000</v>
      </c>
      <c r="D13" s="3">
        <v>8.08</v>
      </c>
      <c r="E13" s="36">
        <f>Tabelle5[[#This Row],[Amount Bought]]-Tabelle5[[#This Row],[Amount Sold]]</f>
        <v>0</v>
      </c>
      <c r="F13" s="34">
        <v>6</v>
      </c>
      <c r="G13" s="3">
        <f>Tabelle5[[#This Row],[Selling Price]]-Tabelle5[[#This Row],[Supplier Price]]</f>
        <v>2.08</v>
      </c>
      <c r="H13" s="4">
        <f>Tabelle5[[#This Row],[Profit Margin]]/Tabelle5[[#This Row],[Selling Price]]</f>
        <v>0.25742574257425743</v>
      </c>
      <c r="I13" s="29">
        <f>Tabelle5[[#This Row],[Amount Sold]]*Tabelle5[[#This Row],[Selling Price]]</f>
        <v>40400</v>
      </c>
      <c r="J13" s="29">
        <f>Tabelle5[[#This Row],[Amount Bought]]*Tabelle5[[#This Row],[Supplier Price]]</f>
        <v>30000</v>
      </c>
      <c r="K13" s="29">
        <f>Tabelle5[[#This Row],[Revenue]]-Tabelle5[[#This Row],[Expenses]] + Tabelle5[[#This Row],[Biofuel Revenue]]</f>
        <v>10400</v>
      </c>
      <c r="L13" s="29">
        <f>Tabelle5[[#This Row],[Amount Expired]]*Tabelle5[[#This Row],[Supplier Price]]*0.25</f>
        <v>0</v>
      </c>
    </row>
    <row r="14" spans="1:12" x14ac:dyDescent="0.3">
      <c r="A14" t="s">
        <v>6</v>
      </c>
      <c r="B14">
        <v>165</v>
      </c>
      <c r="C14" s="36">
        <v>165</v>
      </c>
      <c r="D14" s="3">
        <v>65.25</v>
      </c>
      <c r="E14" s="36">
        <f>Tabelle5[[#This Row],[Amount Bought]]-Tabelle5[[#This Row],[Amount Sold]]</f>
        <v>0</v>
      </c>
      <c r="F14" s="42">
        <v>65</v>
      </c>
      <c r="G14" s="3">
        <f>Tabelle5[[#This Row],[Selling Price]]-Tabelle5[[#This Row],[Supplier Price]]</f>
        <v>0.25</v>
      </c>
      <c r="H14" s="4">
        <f>Tabelle5[[#This Row],[Profit Margin]]/Tabelle5[[#This Row],[Selling Price]]</f>
        <v>3.8314176245210726E-3</v>
      </c>
      <c r="I14" s="29">
        <f>Tabelle5[[#This Row],[Amount Sold]]*Tabelle5[[#This Row],[Selling Price]]</f>
        <v>10766.25</v>
      </c>
      <c r="J14" s="29">
        <f>Tabelle5[[#This Row],[Amount Bought]]*Tabelle5[[#This Row],[Supplier Price]]</f>
        <v>10725</v>
      </c>
      <c r="K14" s="29">
        <f>Tabelle5[[#This Row],[Revenue]]-Tabelle5[[#This Row],[Expenses]] + Tabelle5[[#This Row],[Biofuel Revenue]]</f>
        <v>41.25</v>
      </c>
      <c r="L14" s="29">
        <f>Tabelle5[[#This Row],[Amount Expired]]*Tabelle5[[#This Row],[Supplier Price]]*0.25</f>
        <v>0</v>
      </c>
    </row>
    <row r="15" spans="1:12" x14ac:dyDescent="0.3">
      <c r="B15">
        <f>SUBTOTAL(109,Tabelle5[Amount Sold])</f>
        <v>53863</v>
      </c>
      <c r="C15" s="36">
        <f>SUBTOTAL(109,Tabelle5[Amount Bought])</f>
        <v>54237</v>
      </c>
      <c r="D15" s="3"/>
      <c r="E15" s="36">
        <f>SUBTOTAL(109,Tabelle5[Amount Expired])</f>
        <v>374</v>
      </c>
      <c r="F15" s="3"/>
      <c r="G15" s="3"/>
      <c r="H15" s="4"/>
      <c r="I15" s="29">
        <f>SUM(Tabelle5[Revenue])</f>
        <v>2157388.6700000004</v>
      </c>
      <c r="J15" s="29">
        <f>SUM(Tabelle5[Expenses])</f>
        <v>1679585</v>
      </c>
      <c r="K15" s="29">
        <f>SUM(Tabelle5[Profit])</f>
        <v>481076.17</v>
      </c>
      <c r="L15" s="40"/>
    </row>
    <row r="16" spans="1:12" x14ac:dyDescent="0.3">
      <c r="D16" s="29"/>
      <c r="E16" s="3"/>
    </row>
    <row r="17" spans="4:12" x14ac:dyDescent="0.3">
      <c r="D17" s="29"/>
      <c r="E17" s="3"/>
      <c r="L17">
        <f>E14*F14</f>
        <v>0</v>
      </c>
    </row>
    <row r="18" spans="4:12" x14ac:dyDescent="0.3">
      <c r="D18" s="29"/>
      <c r="E18" s="3"/>
    </row>
    <row r="19" spans="4:12" x14ac:dyDescent="0.3">
      <c r="D19" s="29"/>
      <c r="E19" s="3"/>
    </row>
  </sheetData>
  <conditionalFormatting sqref="K2:K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salaries</vt:lpstr>
      <vt:lpstr>week0</vt:lpstr>
      <vt:lpstr>week1</vt:lpstr>
      <vt:lpstr>week2</vt:lpstr>
      <vt:lpstr>week3</vt:lpstr>
      <vt:lpstr>week4</vt:lpstr>
      <vt:lpstr>week5</vt:lpstr>
      <vt:lpstr>week6</vt:lpstr>
      <vt:lpstr>week7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Pfrommer, Urs Erik</dc:creator>
  <cp:lastModifiedBy>Urs Erik Pfrommer</cp:lastModifiedBy>
  <dcterms:created xsi:type="dcterms:W3CDTF">2025-10-15T15:34:27Z</dcterms:created>
  <dcterms:modified xsi:type="dcterms:W3CDTF">2025-11-05T14:42:39Z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2025-10-21T12:49:41Z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094b948a-37f9-46bf-a9a1-efd7233df39f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